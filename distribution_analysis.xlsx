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ыводы" sheetId="1" state="visible" r:id="rId3"/>
    <sheet name="Данные" sheetId="2" state="visible" r:id="rId4"/>
    <sheet name="Проверка данных" sheetId="3" state="visible" r:id="rId5"/>
    <sheet name="Сводная неделя-территория" sheetId="4" state="visible" r:id="rId6"/>
    <sheet name="Топ-3 территорий" sheetId="5" state="visible" r:id="rId7"/>
    <sheet name="Динамика" sheetId="6" state="visible" r:id="rId8"/>
    <sheet name="Эффективность складов" sheetId="7" state="visible" r:id="rId9"/>
  </sheets>
  <definedNames>
    <definedName function="false" hidden="true" localSheetId="1" name="_xlnm._FilterDatabase" vbProcedure="false">Данные!$A$4:$K$508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<sst xmlns="http://schemas.openxmlformats.org/spreadsheetml/2006/main" count="658" uniqueCount="94">
  <si>
    <t xml:space="preserve">Дистрибуция: концентрация оборота и эффективность складской сети</t>
  </si>
  <si>
    <t xml:space="preserve">Период наблюдения: 28.04–01.06.2020, 18 территорий, 504 наблюдения.</t>
  </si>
  <si>
    <t xml:space="preserve">Оборот сконцентрирован в четырёх территориях</t>
  </si>
  <si>
    <t xml:space="preserve">Санкт-Петербург Север (27.8%), Санкт-Петербург Юг (20.9%), Москва Запад (15.6%) и Москва Восток (14.9%) дают 79.2% всего товарооборота. Оставшиеся 14 территорий делят 20.8%. Любое решение по этим четырём территориям влияет на результат сильнее, чем работа со всеми остальными вместе.</t>
  </si>
  <si>
    <t xml:space="preserve">Лидеры по объёму и по эффективности — разные территории</t>
  </si>
  <si>
    <t xml:space="preserve">Санкт-Петербург Юг занимает второе место по обороту, но лишь четвёртое по обороту на склад (6.4 млн против 10.9 млн у Москвы Восток). При 129 складах он приносит меньше, чем Москва Восток на 54 складах. Разрыв между лучшей и худшей территорией по этому показателю — 5.3 раза.</t>
  </si>
  <si>
    <t xml:space="preserve">Рост за четыре полные недели составил 6.1%, а не 26%</t>
  </si>
  <si>
    <t xml:space="preserve">По всем территориям оборот вырос с 984 млн до 1 056 млн — но 5 из 18 территорий были подключены в течение периода. По сопоставимому кругу из 13 территорий рост составляет 6.1%, а оборот на склад вырос на 4.7% при росте числа складов на 1.4%. То есть сеть росла в основном за счёт географии, а не за счёт плотности продаж.</t>
  </si>
  <si>
    <t xml:space="preserve">Средний чек различается между территориями в 1.4 раза</t>
  </si>
  <si>
    <t xml:space="preserve">От 1 257 руб. в Волгограде до 1 874 руб. в Санкт-Петербурге Север. Территории с высоким оборотом на склад не всегда имеют высокий средний чек: Москва Восток лидирует по эффективности склада при среднем чеке 1 633 руб.</t>
  </si>
  <si>
    <t xml:space="preserve">Ограничения данных</t>
  </si>
  <si>
    <t xml:space="preserve">Неделя 18 содержит 6 дней, неделя 23 — один день (01.06). Обе исключены из сравнений динамики. Пять территорий (Ростов-на-Дону, Тюмень, Самара, Томск, Уфа) имеют неполную историю: от 2 до 33 дней из 35. Они учтены в общих итогах, но исключены из расчёта динамики и сопоставления эффективности.</t>
  </si>
  <si>
    <t xml:space="preserve">Объединённый массив: дневные показатели по территориям</t>
  </si>
  <si>
    <t xml:space="preserve">Источник: два листа исходной выгрузки, соединены по ключу Дата + Территория. Расчётные столбцы J и K — формулы, пересчитываются при изменении данных.</t>
  </si>
  <si>
    <t xml:space="preserve">Дата</t>
  </si>
  <si>
    <t xml:space="preserve">Территория</t>
  </si>
  <si>
    <t xml:space="preserve">Товарооборот, шт</t>
  </si>
  <si>
    <t xml:space="preserve">Товарооборот, руб</t>
  </si>
  <si>
    <t xml:space="preserve">Количество складов</t>
  </si>
  <si>
    <t xml:space="preserve">Количество заказов</t>
  </si>
  <si>
    <t xml:space="preserve">Количество клиентов</t>
  </si>
  <si>
    <t xml:space="preserve">Неделя</t>
  </si>
  <si>
    <t xml:space="preserve">Начало недели</t>
  </si>
  <si>
    <t xml:space="preserve">Товарооборот на склад</t>
  </si>
  <si>
    <t xml:space="preserve">Средний чек</t>
  </si>
  <si>
    <t xml:space="preserve">Волгоград</t>
  </si>
  <si>
    <t xml:space="preserve">Екатеринбург</t>
  </si>
  <si>
    <t xml:space="preserve">Казань</t>
  </si>
  <si>
    <t xml:space="preserve">Кемерово</t>
  </si>
  <si>
    <t xml:space="preserve">Краснодар</t>
  </si>
  <si>
    <t xml:space="preserve">Москва Восток</t>
  </si>
  <si>
    <t xml:space="preserve">Москва Запад</t>
  </si>
  <si>
    <t xml:space="preserve">Нижний Новгород</t>
  </si>
  <si>
    <t xml:space="preserve">Новосибирск</t>
  </si>
  <si>
    <t xml:space="preserve">Пермь</t>
  </si>
  <si>
    <t xml:space="preserve">Санкт-Петербург Север</t>
  </si>
  <si>
    <t xml:space="preserve">Санкт-Петербург Юг</t>
  </si>
  <si>
    <t xml:space="preserve">Тольятти</t>
  </si>
  <si>
    <t xml:space="preserve">Ростов-на-Дону</t>
  </si>
  <si>
    <t xml:space="preserve">Тюмень</t>
  </si>
  <si>
    <t xml:space="preserve">Самара</t>
  </si>
  <si>
    <t xml:space="preserve">Томск</t>
  </si>
  <si>
    <t xml:space="preserve">Уфа</t>
  </si>
  <si>
    <t xml:space="preserve">Проверки, выполненные до анализа</t>
  </si>
  <si>
    <t xml:space="preserve">Каждая проверка — формула по листу «Данные». Значение пересчитывается автоматически.</t>
  </si>
  <si>
    <t xml:space="preserve">Показатель</t>
  </si>
  <si>
    <t xml:space="preserve">Значение</t>
  </si>
  <si>
    <t xml:space="preserve">Комментарий</t>
  </si>
  <si>
    <t xml:space="preserve">Строк в объединённом массиве</t>
  </si>
  <si>
    <t xml:space="preserve">504 = столько же, сколько в каждом исходном листе</t>
  </si>
  <si>
    <t xml:space="preserve">Уникальных территорий</t>
  </si>
  <si>
    <t xml:space="preserve">18</t>
  </si>
  <si>
    <t xml:space="preserve">Уникальных дат</t>
  </si>
  <si>
    <t xml:space="preserve">35 календарных дней подряд, пропусков нет</t>
  </si>
  <si>
    <t xml:space="preserve">Первая дата</t>
  </si>
  <si>
    <t xml:space="preserve">Последняя дата</t>
  </si>
  <si>
    <t xml:space="preserve">Строк с пустым числом складов</t>
  </si>
  <si>
    <t xml:space="preserve">0 — деления на ноль не возникает</t>
  </si>
  <si>
    <t xml:space="preserve">Товарооборот за период, руб</t>
  </si>
  <si>
    <t xml:space="preserve">Заказов за период</t>
  </si>
  <si>
    <t xml:space="preserve">Полнота недель</t>
  </si>
  <si>
    <t xml:space="preserve">Дней в данных</t>
  </si>
  <si>
    <t xml:space="preserve">Территорий</t>
  </si>
  <si>
    <t xml:space="preserve">Статус</t>
  </si>
  <si>
    <t xml:space="preserve">неполная — 6 дн.</t>
  </si>
  <si>
    <t xml:space="preserve">полная</t>
  </si>
  <si>
    <t xml:space="preserve">неполная — 1 дн.</t>
  </si>
  <si>
    <t xml:space="preserve">Территории с неполной историей наблюдений</t>
  </si>
  <si>
    <t xml:space="preserve">Первый день</t>
  </si>
  <si>
    <t xml:space="preserve">Дней из 35</t>
  </si>
  <si>
    <t xml:space="preserve">подключена в течение периода — в сравнениях не участвует</t>
  </si>
  <si>
    <t xml:space="preserve">Товарооборот по территориям и неделям, руб</t>
  </si>
  <si>
    <t xml:space="preserve">Все ячейки — SUMIFS по листу «Данные». Недели 18 и 23 неполные (6 и 1 день) — выделены оранжевым, для сравнения динамики не используются.</t>
  </si>
  <si>
    <t xml:space="preserve">Итого</t>
  </si>
  <si>
    <t xml:space="preserve">Доля, %</t>
  </si>
  <si>
    <t xml:space="preserve">Топ-3 территорий: по объёму и по эффективности</t>
  </si>
  <si>
    <t xml:space="preserve">По доле в общем товарообороте за весь период</t>
  </si>
  <si>
    <t xml:space="preserve">Место</t>
  </si>
  <si>
    <t xml:space="preserve">Накопленная доля</t>
  </si>
  <si>
    <t xml:space="preserve">Топ-3 формируют 64.3% оборота, топ-5 — 84.1%. Оставшиеся 13 территорий делят 15.9%.</t>
  </si>
  <si>
    <t xml:space="preserve">По товарообороту на склад за последнюю полную неделю (неделя 22, 25–31.05)</t>
  </si>
  <si>
    <t xml:space="preserve">Складов (среднее)</t>
  </si>
  <si>
    <t xml:space="preserve">Оборот на склад</t>
  </si>
  <si>
    <t xml:space="preserve">Взята неделя 22, а не календарно последняя неделя 23: в неделе 23 присутствует только один день (01.06), сравнение недельных объёмов с ней некорректно. Состав топ-3 в обоих вариантах совпадает.</t>
  </si>
  <si>
    <t xml:space="preserve">Проверка: то же по неделе 23 (один день)</t>
  </si>
  <si>
    <t xml:space="preserve">Понедельная динамика: товарооборот и оборот на склад</t>
  </si>
  <si>
    <t xml:space="preserve">По 13 территориям с полной историей наблюдений. Пять территорий, подключённых в течение периода, исключены — иначе рост показателя отражал бы расширение географии, а не изменение спроса.</t>
  </si>
  <si>
    <t xml:space="preserve">Дней в неделе</t>
  </si>
  <si>
    <t xml:space="preserve">Оборот за день</t>
  </si>
  <si>
    <t xml:space="preserve">Оборот на склад по территориям, полные недели 19–22</t>
  </si>
  <si>
    <t xml:space="preserve">Показатель отвечает на вопрос, где склады загружены плотнее. Крупная территория может быть неэффективной, и наоборот.</t>
  </si>
  <si>
    <t xml:space="preserve">Складов</t>
  </si>
  <si>
    <t xml:space="preserve">Заказов</t>
  </si>
  <si>
    <t xml:space="preserve">Доля в обороте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</si>
</sst>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.mm\.yyyy"/>
    <numFmt numFmtId="166" formatCode="#,##0"/>
    <numFmt numFmtId="167" formatCode="#,##0.00"/>
    <numFmt numFmtId="168" formatCode="&quot;Неделя &quot;0"/>
    <numFmt numFmtId="169" formatCode="0.0%"/>
    <numFmt numFmtId="170" formatCode="0.00%"/>
    <numFmt numFmtId="171" formatCode="#,##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9D9D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CE4D6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Товарооборот по неделям, руб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Динамика!B4</c:f>
              <c:strCache>
                <c:ptCount val="1"/>
                <c:pt idx="0">
                  <c:v>Товарооборот, руб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Динамика!$A$5:$A$10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Динамика!$B$5:$B$10</c:f>
              <c:numCache>
                <c:formatCode>#,##0</c:formatCode>
                <c:ptCount val="6"/>
                <c:pt idx="0">
                  <c:v>834794223</c:v>
                </c:pt>
                <c:pt idx="1">
                  <c:v>978023132.35665</c:v>
                </c:pt>
                <c:pt idx="2">
                  <c:v>939880548.22395</c:v>
                </c:pt>
                <c:pt idx="3">
                  <c:v>994053357.5466</c:v>
                </c:pt>
                <c:pt idx="4">
                  <c:v>1037793973.25385</c:v>
                </c:pt>
                <c:pt idx="5">
                  <c:v>132228046.68135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4188673"/>
        <c:axId val="54127213"/>
      </c:lineChart>
      <c:catAx>
        <c:axId val="441886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Неделя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27213"/>
        <c:crosses val="autoZero"/>
        <c:auto val="1"/>
        <c:lblAlgn val="ctr"/>
        <c:lblOffset val="100"/>
        <c:noMultiLvlLbl val="0"/>
      </c:catAx>
      <c:valAx>
        <c:axId val="54127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Товарооборот, руб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886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Товарооборот на склад по неделям, руб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Динамика!D4</c:f>
              <c:strCache>
                <c:ptCount val="1"/>
                <c:pt idx="0">
                  <c:v>Оборот на склад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circle"/>
            <c:size val="7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Динамика!$A$5:$A$10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Динамика!$D$5:$D$10</c:f>
              <c:numCache>
                <c:formatCode>#,##0</c:formatCode>
                <c:ptCount val="6"/>
                <c:pt idx="0">
                  <c:v>1520572.35519126</c:v>
                </c:pt>
                <c:pt idx="1">
                  <c:v>1768120.33225634</c:v>
                </c:pt>
                <c:pt idx="2">
                  <c:v>1691736.65147021</c:v>
                </c:pt>
                <c:pt idx="3">
                  <c:v>1777362.32511525</c:v>
                </c:pt>
                <c:pt idx="4">
                  <c:v>1850842.75484763</c:v>
                </c:pt>
                <c:pt idx="5">
                  <c:v>235281.221852936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6356606"/>
        <c:axId val="85048274"/>
      </c:lineChart>
      <c:catAx>
        <c:axId val="263566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Неделя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48274"/>
        <c:crosses val="autoZero"/>
        <c:auto val="1"/>
        <c:lblAlgn val="ctr"/>
        <c:lblOffset val="100"/>
        <c:noMultiLvlLbl val="0"/>
      </c:catAx>
      <c:valAx>
        <c:axId val="85048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Оборот на склад, руб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56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Товарооборот на склад по территориям, руб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'Эффективность складов'!D4</c:f>
              <c:strCache>
                <c:ptCount val="1"/>
                <c:pt idx="0">
                  <c:v>Оборот на склад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'Эффективность складов'!$A$5:$A$17</c:f>
              <c:strCache>
                <c:ptCount val="13"/>
                <c:pt idx="0">
                  <c:v>Москва Восток</c:v>
                </c:pt>
                <c:pt idx="1">
                  <c:v>Москва Запад</c:v>
                </c:pt>
                <c:pt idx="2">
                  <c:v>Санкт-Петербург Север</c:v>
                </c:pt>
                <c:pt idx="3">
                  <c:v>Санкт-Петербург Юг</c:v>
                </c:pt>
                <c:pt idx="4">
                  <c:v>Екатеринбург</c:v>
                </c:pt>
                <c:pt idx="5">
                  <c:v>Волгоград</c:v>
                </c:pt>
                <c:pt idx="6">
                  <c:v>Казань</c:v>
                </c:pt>
                <c:pt idx="7">
                  <c:v>Нижний Новгород</c:v>
                </c:pt>
                <c:pt idx="8">
                  <c:v>Кемерово</c:v>
                </c:pt>
                <c:pt idx="9">
                  <c:v>Краснодар</c:v>
                </c:pt>
                <c:pt idx="10">
                  <c:v>Тольятти</c:v>
                </c:pt>
                <c:pt idx="11">
                  <c:v>Пермь</c:v>
                </c:pt>
                <c:pt idx="12">
                  <c:v>Новосибирск</c:v>
                </c:pt>
              </c:strCache>
            </c:strRef>
          </c:cat>
          <c:val>
            <c:numRef>
              <c:f>'Эффективность складов'!$D$5:$D$17</c:f>
              <c:numCache>
                <c:formatCode>#,##0</c:formatCode>
                <c:ptCount val="13"/>
                <c:pt idx="0">
                  <c:v>10898084.9722222</c:v>
                </c:pt>
                <c:pt idx="1">
                  <c:v>10378482.2843431</c:v>
                </c:pt>
                <c:pt idx="2">
                  <c:v>8901057.98452906</c:v>
                </c:pt>
                <c:pt idx="3">
                  <c:v>6446300.43651977</c:v>
                </c:pt>
                <c:pt idx="4">
                  <c:v>6250010.46774194</c:v>
                </c:pt>
                <c:pt idx="5">
                  <c:v>4849249.77865613</c:v>
                </c:pt>
                <c:pt idx="6">
                  <c:v>4693054.87118644</c:v>
                </c:pt>
                <c:pt idx="7">
                  <c:v>4103540.56826568</c:v>
                </c:pt>
                <c:pt idx="8">
                  <c:v>4006171.23529412</c:v>
                </c:pt>
                <c:pt idx="9">
                  <c:v>3596840.02222222</c:v>
                </c:pt>
                <c:pt idx="10">
                  <c:v>2766882.15</c:v>
                </c:pt>
                <c:pt idx="11">
                  <c:v>2536700.0494382</c:v>
                </c:pt>
                <c:pt idx="12">
                  <c:v>2060326.45454545</c:v>
                </c:pt>
              </c:numCache>
            </c:numRef>
          </c:val>
        </c:ser>
        <c:gapWidth val="150"/>
        <c:overlap val="0"/>
        <c:axId val="5137425"/>
        <c:axId val="39111037"/>
      </c:barChart>
      <c:catAx>
        <c:axId val="513742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Территория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11037"/>
        <c:crosses val="autoZero"/>
        <c:auto val="1"/>
        <c:lblAlgn val="ctr"/>
        <c:lblOffset val="100"/>
        <c:noMultiLvlLbl val="0"/>
      </c:catAx>
      <c:valAx>
        <c:axId val="39111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Оборот на склад, руб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74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4680</xdr:colOff>
      <xdr:row>18</xdr:row>
      <xdr:rowOff>172440</xdr:rowOff>
    </xdr:to>
    <xdr:graphicFrame>
      <xdr:nvGraphicFramePr>
        <xdr:cNvPr id="0" name="Chart 1"/>
        <xdr:cNvGraphicFramePr/>
      </xdr:nvGraphicFramePr>
      <xdr:xfrm>
        <a:off x="7871400" y="571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160920</xdr:rowOff>
    </xdr:from>
    <xdr:to>
      <xdr:col>17</xdr:col>
      <xdr:colOff>4680</xdr:colOff>
      <xdr:row>36</xdr:row>
      <xdr:rowOff>172440</xdr:rowOff>
    </xdr:to>
    <xdr:graphicFrame>
      <xdr:nvGraphicFramePr>
        <xdr:cNvPr id="1" name="Chart 2"/>
        <xdr:cNvGraphicFramePr/>
      </xdr:nvGraphicFramePr>
      <xdr:xfrm>
        <a:off x="7871400" y="4000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18</xdr:col>
      <xdr:colOff>4320</xdr:colOff>
      <xdr:row>23</xdr:row>
      <xdr:rowOff>119880</xdr:rowOff>
    </xdr:to>
    <xdr:graphicFrame>
      <xdr:nvGraphicFramePr>
        <xdr:cNvPr id="2" name="Chart 1"/>
        <xdr:cNvGraphicFramePr/>
      </xdr:nvGraphicFramePr>
      <xdr:xfrm>
        <a:off x="8858160" y="57168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</row>
    <row r="5" customFormat="false" ht="15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.75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.75" hidden="false" customHeight="true" outlineLevel="0" collapsed="false"/>
    <row r="8" customFormat="false" ht="15.75" hidden="false" customHeight="true" outlineLevel="0" collapsed="false">
      <c r="A8" s="3" t="s">
        <v>4</v>
      </c>
    </row>
    <row r="9" customFormat="false" ht="15.75" hidden="false" customHeight="true" outlineLevel="0" collapsed="false">
      <c r="A9" s="4" t="s">
        <v>5</v>
      </c>
      <c r="B9" s="4"/>
      <c r="C9" s="4"/>
      <c r="D9" s="4"/>
      <c r="E9" s="4"/>
      <c r="F9" s="4"/>
      <c r="G9" s="4"/>
      <c r="H9" s="4"/>
    </row>
    <row r="10" customFormat="false" ht="15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.75" hidden="false" customHeight="true" outlineLevel="0" collapsed="false"/>
    <row r="12" customFormat="false" ht="15.75" hidden="false" customHeight="true" outlineLevel="0" collapsed="false">
      <c r="A12" s="3" t="s">
        <v>6</v>
      </c>
    </row>
    <row r="13" customFormat="false" ht="15.75" hidden="false" customHeight="true" outlineLevel="0" collapsed="false">
      <c r="A13" s="4" t="s">
        <v>7</v>
      </c>
      <c r="B13" s="4"/>
      <c r="C13" s="4"/>
      <c r="D13" s="4"/>
      <c r="E13" s="4"/>
      <c r="F13" s="4"/>
      <c r="G13" s="4"/>
      <c r="H13" s="4"/>
    </row>
    <row r="14" customFormat="false" ht="15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.75" hidden="false" customHeight="true" outlineLevel="0" collapsed="false"/>
    <row r="16" customFormat="false" ht="15.75" hidden="false" customHeight="true" outlineLevel="0" collapsed="false">
      <c r="A16" s="3" t="s">
        <v>8</v>
      </c>
    </row>
    <row r="17" customFormat="false" ht="15.75" hidden="false" customHeight="true" outlineLevel="0" collapsed="false">
      <c r="A17" s="4" t="s">
        <v>9</v>
      </c>
      <c r="B17" s="4"/>
      <c r="C17" s="4"/>
      <c r="D17" s="4"/>
      <c r="E17" s="4"/>
      <c r="F17" s="4"/>
      <c r="G17" s="4"/>
      <c r="H17" s="4"/>
    </row>
    <row r="18" customFormat="false" ht="15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.75" hidden="false" customHeight="true" outlineLevel="0" collapsed="false"/>
    <row r="20" customFormat="false" ht="15.75" hidden="false" customHeight="true" outlineLevel="0" collapsed="false">
      <c r="A20" s="5" t="s">
        <v>10</v>
      </c>
    </row>
    <row r="21" customFormat="false" ht="15.75" hidden="false" customHeight="true" outlineLevel="0" collapsed="false">
      <c r="A21" s="4" t="s">
        <v>11</v>
      </c>
      <c r="B21" s="4"/>
      <c r="C21" s="4"/>
      <c r="D21" s="4"/>
      <c r="E21" s="4"/>
      <c r="F21" s="4"/>
      <c r="G21" s="4"/>
      <c r="H21" s="4"/>
    </row>
    <row r="22" customFormat="false" ht="15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.75" hidden="false" customHeight="true" outlineLevel="0" collapsed="false"/>
  </sheetData>
  <mergeCells count="5">
    <mergeCell ref="A5:H6"/>
    <mergeCell ref="A9:H10"/>
    <mergeCell ref="A13:H14"/>
    <mergeCell ref="A17:H18"/>
    <mergeCell ref="A21:H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6" t="s">
        <v>12</v>
      </c>
    </row>
    <row r="2" customFormat="false" ht="15" hidden="false" customHeight="false" outlineLevel="0" collapsed="false">
      <c r="A2" s="2" t="s">
        <v>13</v>
      </c>
    </row>
    <row r="4" customFormat="false" ht="23.85" hidden="false" customHeight="false" outlineLevel="0" collapsed="false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7" t="s">
        <v>24</v>
      </c>
    </row>
    <row r="5" customFormat="false" ht="15" hidden="false" customHeight="false" outlineLevel="0" collapsed="false">
      <c r="A5" s="8" t="n">
        <v>43949</v>
      </c>
      <c r="B5" s="9" t="s">
        <v>25</v>
      </c>
      <c r="C5" s="10" t="n">
        <v>73147.5</v>
      </c>
      <c r="D5" s="10" t="n">
        <v>6288246</v>
      </c>
      <c r="E5" s="9" t="n">
        <v>36</v>
      </c>
      <c r="F5" s="9" t="n">
        <v>4923</v>
      </c>
      <c r="G5" s="9" t="n">
        <v>4560</v>
      </c>
      <c r="H5" s="9" t="n">
        <f aca="false">WEEKNUM(A5,21)</f>
        <v>18</v>
      </c>
      <c r="I5" s="8" t="n">
        <f aca="false">A5-WEEKDAY(A5,3)</f>
        <v>43948</v>
      </c>
      <c r="J5" s="10" t="n">
        <f aca="false">IFERROR(D5/E5,"")</f>
        <v>174673.5</v>
      </c>
      <c r="K5" s="11" t="n">
        <f aca="false">IFERROR(D5/F5,"")</f>
        <v>1277.31992687386</v>
      </c>
    </row>
    <row r="6" customFormat="false" ht="15" hidden="false" customHeight="false" outlineLevel="0" collapsed="false">
      <c r="A6" s="8" t="n">
        <v>43949</v>
      </c>
      <c r="B6" s="9" t="s">
        <v>26</v>
      </c>
      <c r="C6" s="10" t="n">
        <v>81826.5</v>
      </c>
      <c r="D6" s="10" t="n">
        <v>7163644.5</v>
      </c>
      <c r="E6" s="9" t="n">
        <v>31</v>
      </c>
      <c r="F6" s="9" t="n">
        <v>5465</v>
      </c>
      <c r="G6" s="9" t="n">
        <v>5096</v>
      </c>
      <c r="H6" s="9" t="n">
        <f aca="false">WEEKNUM(A6,21)</f>
        <v>18</v>
      </c>
      <c r="I6" s="8" t="n">
        <f aca="false">A6-WEEKDAY(A6,3)</f>
        <v>43948</v>
      </c>
      <c r="J6" s="10" t="n">
        <f aca="false">IFERROR(D6/E6,"")</f>
        <v>231085.306451613</v>
      </c>
      <c r="K6" s="11" t="n">
        <f aca="false">IFERROR(D6/F6,"")</f>
        <v>1310.82241537054</v>
      </c>
    </row>
    <row r="7" customFormat="false" ht="15" hidden="false" customHeight="false" outlineLevel="0" collapsed="false">
      <c r="A7" s="8" t="n">
        <v>43949</v>
      </c>
      <c r="B7" s="9" t="s">
        <v>27</v>
      </c>
      <c r="C7" s="10" t="n">
        <v>32181</v>
      </c>
      <c r="D7" s="10" t="n">
        <v>2863600.5</v>
      </c>
      <c r="E7" s="9" t="n">
        <v>19</v>
      </c>
      <c r="F7" s="9" t="n">
        <v>1846</v>
      </c>
      <c r="G7" s="9" t="n">
        <v>1681</v>
      </c>
      <c r="H7" s="9" t="n">
        <f aca="false">WEEKNUM(A7,21)</f>
        <v>18</v>
      </c>
      <c r="I7" s="8" t="n">
        <f aca="false">A7-WEEKDAY(A7,3)</f>
        <v>43948</v>
      </c>
      <c r="J7" s="10" t="n">
        <f aca="false">IFERROR(D7/E7,"")</f>
        <v>150715.815789474</v>
      </c>
      <c r="K7" s="11" t="n">
        <f aca="false">IFERROR(D7/F7,"")</f>
        <v>1551.24620801733</v>
      </c>
    </row>
    <row r="8" customFormat="false" ht="15" hidden="false" customHeight="false" outlineLevel="0" collapsed="false">
      <c r="A8" s="8" t="n">
        <v>43949</v>
      </c>
      <c r="B8" s="9" t="s">
        <v>28</v>
      </c>
      <c r="C8" s="10" t="n">
        <v>26940</v>
      </c>
      <c r="D8" s="10" t="n">
        <v>2411587.5</v>
      </c>
      <c r="E8" s="9" t="n">
        <v>18</v>
      </c>
      <c r="F8" s="9" t="n">
        <v>1539</v>
      </c>
      <c r="G8" s="9" t="n">
        <v>1404</v>
      </c>
      <c r="H8" s="9" t="n">
        <f aca="false">WEEKNUM(A8,21)</f>
        <v>18</v>
      </c>
      <c r="I8" s="8" t="n">
        <f aca="false">A8-WEEKDAY(A8,3)</f>
        <v>43948</v>
      </c>
      <c r="J8" s="10" t="n">
        <f aca="false">IFERROR(D8/E8,"")</f>
        <v>133977.083333333</v>
      </c>
      <c r="K8" s="11" t="n">
        <f aca="false">IFERROR(D8/F8,"")</f>
        <v>1566.98343079922</v>
      </c>
    </row>
    <row r="9" customFormat="false" ht="15" hidden="false" customHeight="false" outlineLevel="0" collapsed="false">
      <c r="A9" s="8" t="n">
        <v>43949</v>
      </c>
      <c r="B9" s="9" t="s">
        <v>29</v>
      </c>
      <c r="C9" s="10" t="n">
        <v>25149</v>
      </c>
      <c r="D9" s="10" t="n">
        <v>2277072</v>
      </c>
      <c r="E9" s="9" t="n">
        <v>18</v>
      </c>
      <c r="F9" s="9" t="n">
        <v>1505</v>
      </c>
      <c r="G9" s="9" t="n">
        <v>1368</v>
      </c>
      <c r="H9" s="9" t="n">
        <f aca="false">WEEKNUM(A9,21)</f>
        <v>18</v>
      </c>
      <c r="I9" s="8" t="n">
        <f aca="false">A9-WEEKDAY(A9,3)</f>
        <v>43948</v>
      </c>
      <c r="J9" s="10" t="n">
        <f aca="false">IFERROR(D9/E9,"")</f>
        <v>126504</v>
      </c>
      <c r="K9" s="11" t="n">
        <f aca="false">IFERROR(D9/F9,"")</f>
        <v>1513.00465116279</v>
      </c>
    </row>
    <row r="10" customFormat="false" ht="15" hidden="false" customHeight="false" outlineLevel="0" collapsed="false">
      <c r="A10" s="8" t="n">
        <v>43949</v>
      </c>
      <c r="B10" s="9" t="s">
        <v>30</v>
      </c>
      <c r="C10" s="10" t="n">
        <v>195705</v>
      </c>
      <c r="D10" s="10" t="n">
        <v>20003263.5</v>
      </c>
      <c r="E10" s="9" t="n">
        <v>54</v>
      </c>
      <c r="F10" s="9" t="n">
        <v>12306</v>
      </c>
      <c r="G10" s="9" t="n">
        <v>11532</v>
      </c>
      <c r="H10" s="9" t="n">
        <f aca="false">WEEKNUM(A10,21)</f>
        <v>18</v>
      </c>
      <c r="I10" s="8" t="n">
        <f aca="false">A10-WEEKDAY(A10,3)</f>
        <v>43948</v>
      </c>
      <c r="J10" s="10" t="n">
        <f aca="false">IFERROR(D10/E10,"")</f>
        <v>370430.805555556</v>
      </c>
      <c r="K10" s="11" t="n">
        <f aca="false">IFERROR(D10/F10,"")</f>
        <v>1625.48866406631</v>
      </c>
    </row>
    <row r="11" customFormat="false" ht="15" hidden="false" customHeight="false" outlineLevel="0" collapsed="false">
      <c r="A11" s="8" t="n">
        <v>43949</v>
      </c>
      <c r="B11" s="9" t="s">
        <v>31</v>
      </c>
      <c r="C11" s="10" t="n">
        <v>204637.5</v>
      </c>
      <c r="D11" s="10" t="n">
        <v>21114898.5</v>
      </c>
      <c r="E11" s="9" t="n">
        <v>59</v>
      </c>
      <c r="F11" s="9" t="n">
        <v>12943</v>
      </c>
      <c r="G11" s="9" t="n">
        <v>12072</v>
      </c>
      <c r="H11" s="9" t="n">
        <f aca="false">WEEKNUM(A11,21)</f>
        <v>18</v>
      </c>
      <c r="I11" s="8" t="n">
        <f aca="false">A11-WEEKDAY(A11,3)</f>
        <v>43948</v>
      </c>
      <c r="J11" s="10" t="n">
        <f aca="false">IFERROR(D11/E11,"")</f>
        <v>357879.63559322</v>
      </c>
      <c r="K11" s="11" t="n">
        <f aca="false">IFERROR(D11/F11,"")</f>
        <v>1631.37591748435</v>
      </c>
    </row>
    <row r="12" customFormat="false" ht="15" hidden="false" customHeight="false" outlineLevel="0" collapsed="false">
      <c r="A12" s="8" t="n">
        <v>43949</v>
      </c>
      <c r="B12" s="9" t="s">
        <v>32</v>
      </c>
      <c r="C12" s="10" t="n">
        <v>23314.5</v>
      </c>
      <c r="D12" s="10" t="n">
        <v>2136817.5</v>
      </c>
      <c r="E12" s="9" t="n">
        <v>17</v>
      </c>
      <c r="F12" s="9" t="n">
        <v>1439</v>
      </c>
      <c r="G12" s="9" t="n">
        <v>1265</v>
      </c>
      <c r="H12" s="9" t="n">
        <f aca="false">WEEKNUM(A12,21)</f>
        <v>18</v>
      </c>
      <c r="I12" s="8" t="n">
        <f aca="false">A12-WEEKDAY(A12,3)</f>
        <v>43948</v>
      </c>
      <c r="J12" s="10" t="n">
        <f aca="false">IFERROR(D12/E12,"")</f>
        <v>125695.147058824</v>
      </c>
      <c r="K12" s="11" t="n">
        <f aca="false">IFERROR(D12/F12,"")</f>
        <v>1484.93224461432</v>
      </c>
    </row>
    <row r="13" customFormat="false" ht="15" hidden="false" customHeight="false" outlineLevel="0" collapsed="false">
      <c r="A13" s="8" t="n">
        <v>43949</v>
      </c>
      <c r="B13" s="9" t="s">
        <v>33</v>
      </c>
      <c r="C13" s="10" t="n">
        <v>12541.5</v>
      </c>
      <c r="D13" s="10" t="n">
        <v>992541</v>
      </c>
      <c r="E13" s="9" t="n">
        <v>15</v>
      </c>
      <c r="F13" s="9" t="n">
        <v>636</v>
      </c>
      <c r="G13" s="9" t="n">
        <v>547</v>
      </c>
      <c r="H13" s="9" t="n">
        <f aca="false">WEEKNUM(A13,21)</f>
        <v>18</v>
      </c>
      <c r="I13" s="8" t="n">
        <f aca="false">A13-WEEKDAY(A13,3)</f>
        <v>43948</v>
      </c>
      <c r="J13" s="10" t="n">
        <f aca="false">IFERROR(D13/E13,"")</f>
        <v>66169.4</v>
      </c>
      <c r="K13" s="11" t="n">
        <f aca="false">IFERROR(D13/F13,"")</f>
        <v>1560.59905660377</v>
      </c>
    </row>
    <row r="14" customFormat="false" ht="15" hidden="false" customHeight="false" outlineLevel="0" collapsed="false">
      <c r="A14" s="8" t="n">
        <v>43949</v>
      </c>
      <c r="B14" s="9" t="s">
        <v>34</v>
      </c>
      <c r="C14" s="10" t="n">
        <v>13303.5</v>
      </c>
      <c r="D14" s="10" t="n">
        <v>1102887</v>
      </c>
      <c r="E14" s="9" t="n">
        <v>15</v>
      </c>
      <c r="F14" s="9" t="n">
        <v>780</v>
      </c>
      <c r="G14" s="9" t="n">
        <v>690</v>
      </c>
      <c r="H14" s="9" t="n">
        <f aca="false">WEEKNUM(A14,21)</f>
        <v>18</v>
      </c>
      <c r="I14" s="8" t="n">
        <f aca="false">A14-WEEKDAY(A14,3)</f>
        <v>43948</v>
      </c>
      <c r="J14" s="10" t="n">
        <f aca="false">IFERROR(D14/E14,"")</f>
        <v>73525.8</v>
      </c>
      <c r="K14" s="11" t="n">
        <f aca="false">IFERROR(D14/F14,"")</f>
        <v>1413.95769230769</v>
      </c>
    </row>
    <row r="15" customFormat="false" ht="15" hidden="false" customHeight="false" outlineLevel="0" collapsed="false">
      <c r="A15" s="8" t="n">
        <v>43949</v>
      </c>
      <c r="B15" s="9" t="s">
        <v>35</v>
      </c>
      <c r="C15" s="10" t="n">
        <v>376060.5</v>
      </c>
      <c r="D15" s="10" t="n">
        <v>39918028.5</v>
      </c>
      <c r="E15" s="9" t="n">
        <v>125</v>
      </c>
      <c r="F15" s="9" t="n">
        <v>20914</v>
      </c>
      <c r="G15" s="9" t="n">
        <v>19479</v>
      </c>
      <c r="H15" s="9" t="n">
        <f aca="false">WEEKNUM(A15,21)</f>
        <v>18</v>
      </c>
      <c r="I15" s="8" t="n">
        <f aca="false">A15-WEEKDAY(A15,3)</f>
        <v>43948</v>
      </c>
      <c r="J15" s="10" t="n">
        <f aca="false">IFERROR(D15/E15,"")</f>
        <v>319344.228</v>
      </c>
      <c r="K15" s="11" t="n">
        <f aca="false">IFERROR(D15/F15,"")</f>
        <v>1908.67497848331</v>
      </c>
    </row>
    <row r="16" customFormat="false" ht="15" hidden="false" customHeight="false" outlineLevel="0" collapsed="false">
      <c r="A16" s="8" t="n">
        <v>43949</v>
      </c>
      <c r="B16" s="9" t="s">
        <v>36</v>
      </c>
      <c r="C16" s="10" t="n">
        <v>286002</v>
      </c>
      <c r="D16" s="10" t="n">
        <v>29159032.5</v>
      </c>
      <c r="E16" s="9" t="n">
        <v>128</v>
      </c>
      <c r="F16" s="9" t="n">
        <v>16450</v>
      </c>
      <c r="G16" s="9" t="n">
        <v>15320</v>
      </c>
      <c r="H16" s="9" t="n">
        <f aca="false">WEEKNUM(A16,21)</f>
        <v>18</v>
      </c>
      <c r="I16" s="8" t="n">
        <f aca="false">A16-WEEKDAY(A16,3)</f>
        <v>43948</v>
      </c>
      <c r="J16" s="10" t="n">
        <f aca="false">IFERROR(D16/E16,"")</f>
        <v>227804.94140625</v>
      </c>
      <c r="K16" s="11" t="n">
        <f aca="false">IFERROR(D16/F16,"")</f>
        <v>1772.58556231003</v>
      </c>
    </row>
    <row r="17" customFormat="false" ht="15" hidden="false" customHeight="false" outlineLevel="0" collapsed="false">
      <c r="A17" s="8" t="n">
        <v>43949</v>
      </c>
      <c r="B17" s="9" t="s">
        <v>37</v>
      </c>
      <c r="C17" s="10" t="n">
        <v>12331.5</v>
      </c>
      <c r="D17" s="10" t="n">
        <v>869983.5</v>
      </c>
      <c r="E17" s="9" t="n">
        <v>10</v>
      </c>
      <c r="F17" s="9" t="n">
        <v>580</v>
      </c>
      <c r="G17" s="9" t="n">
        <v>506</v>
      </c>
      <c r="H17" s="9" t="n">
        <f aca="false">WEEKNUM(A17,21)</f>
        <v>18</v>
      </c>
      <c r="I17" s="8" t="n">
        <f aca="false">A17-WEEKDAY(A17,3)</f>
        <v>43948</v>
      </c>
      <c r="J17" s="10" t="n">
        <f aca="false">IFERROR(D17/E17,"")</f>
        <v>86998.35</v>
      </c>
      <c r="K17" s="11" t="n">
        <f aca="false">IFERROR(D17/F17,"")</f>
        <v>1499.97155172414</v>
      </c>
    </row>
    <row r="18" customFormat="false" ht="15" hidden="false" customHeight="false" outlineLevel="0" collapsed="false">
      <c r="A18" s="8" t="n">
        <v>43950</v>
      </c>
      <c r="B18" s="9" t="s">
        <v>25</v>
      </c>
      <c r="C18" s="10" t="n">
        <v>74707.5</v>
      </c>
      <c r="D18" s="10" t="n">
        <v>6454458</v>
      </c>
      <c r="E18" s="9" t="n">
        <v>36</v>
      </c>
      <c r="F18" s="9" t="n">
        <v>4937</v>
      </c>
      <c r="G18" s="9" t="n">
        <v>4561</v>
      </c>
      <c r="H18" s="9" t="n">
        <f aca="false">WEEKNUM(A18,21)</f>
        <v>18</v>
      </c>
      <c r="I18" s="8" t="n">
        <f aca="false">A18-WEEKDAY(A18,3)</f>
        <v>43948</v>
      </c>
      <c r="J18" s="10" t="n">
        <f aca="false">IFERROR(D18/E18,"")</f>
        <v>179290.5</v>
      </c>
      <c r="K18" s="11" t="n">
        <f aca="false">IFERROR(D18/F18,"")</f>
        <v>1307.36439133077</v>
      </c>
    </row>
    <row r="19" customFormat="false" ht="15" hidden="false" customHeight="false" outlineLevel="0" collapsed="false">
      <c r="A19" s="8" t="n">
        <v>43950</v>
      </c>
      <c r="B19" s="9" t="s">
        <v>26</v>
      </c>
      <c r="C19" s="10" t="n">
        <v>79527</v>
      </c>
      <c r="D19" s="10" t="n">
        <v>7180498.5</v>
      </c>
      <c r="E19" s="9" t="n">
        <v>31</v>
      </c>
      <c r="F19" s="9" t="n">
        <v>5378</v>
      </c>
      <c r="G19" s="9" t="n">
        <v>4985</v>
      </c>
      <c r="H19" s="9" t="n">
        <f aca="false">WEEKNUM(A19,21)</f>
        <v>18</v>
      </c>
      <c r="I19" s="8" t="n">
        <f aca="false">A19-WEEKDAY(A19,3)</f>
        <v>43948</v>
      </c>
      <c r="J19" s="10" t="n">
        <f aca="false">IFERROR(D19/E19,"")</f>
        <v>231628.983870968</v>
      </c>
      <c r="K19" s="11" t="n">
        <f aca="false">IFERROR(D19/F19,"")</f>
        <v>1335.16149126069</v>
      </c>
    </row>
    <row r="20" customFormat="false" ht="15" hidden="false" customHeight="false" outlineLevel="0" collapsed="false">
      <c r="A20" s="8" t="n">
        <v>43950</v>
      </c>
      <c r="B20" s="9" t="s">
        <v>27</v>
      </c>
      <c r="C20" s="10" t="n">
        <v>29142</v>
      </c>
      <c r="D20" s="10" t="n">
        <v>2627595</v>
      </c>
      <c r="E20" s="9" t="n">
        <v>19</v>
      </c>
      <c r="F20" s="9" t="n">
        <v>1676</v>
      </c>
      <c r="G20" s="9" t="n">
        <v>1516</v>
      </c>
      <c r="H20" s="9" t="n">
        <f aca="false">WEEKNUM(A20,21)</f>
        <v>18</v>
      </c>
      <c r="I20" s="8" t="n">
        <f aca="false">A20-WEEKDAY(A20,3)</f>
        <v>43948</v>
      </c>
      <c r="J20" s="10" t="n">
        <f aca="false">IFERROR(D20/E20,"")</f>
        <v>138294.473684211</v>
      </c>
      <c r="K20" s="11" t="n">
        <f aca="false">IFERROR(D20/F20,"")</f>
        <v>1567.77744630072</v>
      </c>
    </row>
    <row r="21" customFormat="false" ht="15" hidden="false" customHeight="false" outlineLevel="0" collapsed="false">
      <c r="A21" s="8" t="n">
        <v>43950</v>
      </c>
      <c r="B21" s="9" t="s">
        <v>28</v>
      </c>
      <c r="C21" s="10" t="n">
        <v>29319</v>
      </c>
      <c r="D21" s="10" t="n">
        <v>2623480.5</v>
      </c>
      <c r="E21" s="9" t="n">
        <v>18</v>
      </c>
      <c r="F21" s="9" t="n">
        <v>1684</v>
      </c>
      <c r="G21" s="9" t="n">
        <v>1528</v>
      </c>
      <c r="H21" s="9" t="n">
        <f aca="false">WEEKNUM(A21,21)</f>
        <v>18</v>
      </c>
      <c r="I21" s="8" t="n">
        <f aca="false">A21-WEEKDAY(A21,3)</f>
        <v>43948</v>
      </c>
      <c r="J21" s="10" t="n">
        <f aca="false">IFERROR(D21/E21,"")</f>
        <v>145748.916666667</v>
      </c>
      <c r="K21" s="11" t="n">
        <f aca="false">IFERROR(D21/F21,"")</f>
        <v>1557.88628266033</v>
      </c>
    </row>
    <row r="22" customFormat="false" ht="15" hidden="false" customHeight="false" outlineLevel="0" collapsed="false">
      <c r="A22" s="8" t="n">
        <v>43950</v>
      </c>
      <c r="B22" s="9" t="s">
        <v>29</v>
      </c>
      <c r="C22" s="10" t="n">
        <v>25816.5</v>
      </c>
      <c r="D22" s="10" t="n">
        <v>2360914.5</v>
      </c>
      <c r="E22" s="9" t="n">
        <v>18</v>
      </c>
      <c r="F22" s="9" t="n">
        <v>1599</v>
      </c>
      <c r="G22" s="9" t="n">
        <v>1450</v>
      </c>
      <c r="H22" s="9" t="n">
        <f aca="false">WEEKNUM(A22,21)</f>
        <v>18</v>
      </c>
      <c r="I22" s="8" t="n">
        <f aca="false">A22-WEEKDAY(A22,3)</f>
        <v>43948</v>
      </c>
      <c r="J22" s="10" t="n">
        <f aca="false">IFERROR(D22/E22,"")</f>
        <v>131161.916666667</v>
      </c>
      <c r="K22" s="11" t="n">
        <f aca="false">IFERROR(D22/F22,"")</f>
        <v>1476.49437148218</v>
      </c>
    </row>
    <row r="23" customFormat="false" ht="15" hidden="false" customHeight="false" outlineLevel="0" collapsed="false">
      <c r="A23" s="8" t="n">
        <v>43950</v>
      </c>
      <c r="B23" s="9" t="s">
        <v>30</v>
      </c>
      <c r="C23" s="10" t="n">
        <v>203209.5</v>
      </c>
      <c r="D23" s="10" t="n">
        <v>20871391.5</v>
      </c>
      <c r="E23" s="9" t="n">
        <v>54</v>
      </c>
      <c r="F23" s="9" t="n">
        <v>12747</v>
      </c>
      <c r="G23" s="9" t="n">
        <v>11884</v>
      </c>
      <c r="H23" s="9" t="n">
        <f aca="false">WEEKNUM(A23,21)</f>
        <v>18</v>
      </c>
      <c r="I23" s="8" t="n">
        <f aca="false">A23-WEEKDAY(A23,3)</f>
        <v>43948</v>
      </c>
      <c r="J23" s="10" t="n">
        <f aca="false">IFERROR(D23/E23,"")</f>
        <v>386507.25</v>
      </c>
      <c r="K23" s="11" t="n">
        <f aca="false">IFERROR(D23/F23,"")</f>
        <v>1637.35714285714</v>
      </c>
    </row>
    <row r="24" customFormat="false" ht="15" hidden="false" customHeight="false" outlineLevel="0" collapsed="false">
      <c r="A24" s="8" t="n">
        <v>43950</v>
      </c>
      <c r="B24" s="9" t="s">
        <v>31</v>
      </c>
      <c r="C24" s="10" t="n">
        <v>208351.5</v>
      </c>
      <c r="D24" s="10" t="n">
        <v>21615333</v>
      </c>
      <c r="E24" s="9" t="n">
        <v>59</v>
      </c>
      <c r="F24" s="9" t="n">
        <v>13186</v>
      </c>
      <c r="G24" s="9" t="n">
        <v>12251</v>
      </c>
      <c r="H24" s="9" t="n">
        <f aca="false">WEEKNUM(A24,21)</f>
        <v>18</v>
      </c>
      <c r="I24" s="8" t="n">
        <f aca="false">A24-WEEKDAY(A24,3)</f>
        <v>43948</v>
      </c>
      <c r="J24" s="10" t="n">
        <f aca="false">IFERROR(D24/E24,"")</f>
        <v>366361.576271186</v>
      </c>
      <c r="K24" s="11" t="n">
        <f aca="false">IFERROR(D24/F24,"")</f>
        <v>1639.26384043683</v>
      </c>
    </row>
    <row r="25" customFormat="false" ht="15" hidden="false" customHeight="false" outlineLevel="0" collapsed="false">
      <c r="A25" s="8" t="n">
        <v>43950</v>
      </c>
      <c r="B25" s="9" t="s">
        <v>32</v>
      </c>
      <c r="C25" s="10" t="n">
        <v>25917</v>
      </c>
      <c r="D25" s="10" t="n">
        <v>2397588</v>
      </c>
      <c r="E25" s="9" t="n">
        <v>18</v>
      </c>
      <c r="F25" s="9" t="n">
        <v>1534</v>
      </c>
      <c r="G25" s="9" t="n">
        <v>1369</v>
      </c>
      <c r="H25" s="9" t="n">
        <f aca="false">WEEKNUM(A25,21)</f>
        <v>18</v>
      </c>
      <c r="I25" s="8" t="n">
        <f aca="false">A25-WEEKDAY(A25,3)</f>
        <v>43948</v>
      </c>
      <c r="J25" s="10" t="n">
        <f aca="false">IFERROR(D25/E25,"")</f>
        <v>133199.333333333</v>
      </c>
      <c r="K25" s="11" t="n">
        <f aca="false">IFERROR(D25/F25,"")</f>
        <v>1562.96479791395</v>
      </c>
    </row>
    <row r="26" customFormat="false" ht="15" hidden="false" customHeight="false" outlineLevel="0" collapsed="false">
      <c r="A26" s="8" t="n">
        <v>43950</v>
      </c>
      <c r="B26" s="9" t="s">
        <v>33</v>
      </c>
      <c r="C26" s="10" t="n">
        <v>12250.5</v>
      </c>
      <c r="D26" s="10" t="n">
        <v>981519</v>
      </c>
      <c r="E26" s="9" t="n">
        <v>15</v>
      </c>
      <c r="F26" s="9" t="n">
        <v>659</v>
      </c>
      <c r="G26" s="9" t="n">
        <v>575</v>
      </c>
      <c r="H26" s="9" t="n">
        <f aca="false">WEEKNUM(A26,21)</f>
        <v>18</v>
      </c>
      <c r="I26" s="8" t="n">
        <f aca="false">A26-WEEKDAY(A26,3)</f>
        <v>43948</v>
      </c>
      <c r="J26" s="10" t="n">
        <f aca="false">IFERROR(D26/E26,"")</f>
        <v>65434.6</v>
      </c>
      <c r="K26" s="11" t="n">
        <f aca="false">IFERROR(D26/F26,"")</f>
        <v>1489.406676783</v>
      </c>
    </row>
    <row r="27" customFormat="false" ht="15" hidden="false" customHeight="false" outlineLevel="0" collapsed="false">
      <c r="A27" s="8" t="n">
        <v>43950</v>
      </c>
      <c r="B27" s="9" t="s">
        <v>34</v>
      </c>
      <c r="C27" s="10" t="n">
        <v>13014</v>
      </c>
      <c r="D27" s="10" t="n">
        <v>1115992.5</v>
      </c>
      <c r="E27" s="9" t="n">
        <v>15</v>
      </c>
      <c r="F27" s="9" t="n">
        <v>786</v>
      </c>
      <c r="G27" s="9" t="n">
        <v>695</v>
      </c>
      <c r="H27" s="9" t="n">
        <f aca="false">WEEKNUM(A27,21)</f>
        <v>18</v>
      </c>
      <c r="I27" s="8" t="n">
        <f aca="false">A27-WEEKDAY(A27,3)</f>
        <v>43948</v>
      </c>
      <c r="J27" s="10" t="n">
        <f aca="false">IFERROR(D27/E27,"")</f>
        <v>74399.5</v>
      </c>
      <c r="K27" s="11" t="n">
        <f aca="false">IFERROR(D27/F27,"")</f>
        <v>1419.83778625954</v>
      </c>
    </row>
    <row r="28" customFormat="false" ht="15" hidden="false" customHeight="false" outlineLevel="0" collapsed="false">
      <c r="A28" s="8" t="n">
        <v>43950</v>
      </c>
      <c r="B28" s="9" t="s">
        <v>35</v>
      </c>
      <c r="C28" s="10" t="n">
        <v>387220.5</v>
      </c>
      <c r="D28" s="10" t="n">
        <v>41559384</v>
      </c>
      <c r="E28" s="9" t="n">
        <v>125</v>
      </c>
      <c r="F28" s="9" t="n">
        <v>21863</v>
      </c>
      <c r="G28" s="9" t="n">
        <v>20160</v>
      </c>
      <c r="H28" s="9" t="n">
        <f aca="false">WEEKNUM(A28,21)</f>
        <v>18</v>
      </c>
      <c r="I28" s="8" t="n">
        <f aca="false">A28-WEEKDAY(A28,3)</f>
        <v>43948</v>
      </c>
      <c r="J28" s="10" t="n">
        <f aca="false">IFERROR(D28/E28,"")</f>
        <v>332475.072</v>
      </c>
      <c r="K28" s="11" t="n">
        <f aca="false">IFERROR(D28/F28,"")</f>
        <v>1900.90033389745</v>
      </c>
    </row>
    <row r="29" customFormat="false" ht="15" hidden="false" customHeight="false" outlineLevel="0" collapsed="false">
      <c r="A29" s="8" t="n">
        <v>43950</v>
      </c>
      <c r="B29" s="9" t="s">
        <v>36</v>
      </c>
      <c r="C29" s="10" t="n">
        <v>298059</v>
      </c>
      <c r="D29" s="10" t="n">
        <v>30869287.5</v>
      </c>
      <c r="E29" s="9" t="n">
        <v>128</v>
      </c>
      <c r="F29" s="9" t="n">
        <v>17368</v>
      </c>
      <c r="G29" s="9" t="n">
        <v>16077</v>
      </c>
      <c r="H29" s="9" t="n">
        <f aca="false">WEEKNUM(A29,21)</f>
        <v>18</v>
      </c>
      <c r="I29" s="8" t="n">
        <f aca="false">A29-WEEKDAY(A29,3)</f>
        <v>43948</v>
      </c>
      <c r="J29" s="10" t="n">
        <f aca="false">IFERROR(D29/E29,"")</f>
        <v>241166.30859375</v>
      </c>
      <c r="K29" s="11" t="n">
        <f aca="false">IFERROR(D29/F29,"")</f>
        <v>1777.36570128973</v>
      </c>
    </row>
    <row r="30" customFormat="false" ht="15" hidden="false" customHeight="false" outlineLevel="0" collapsed="false">
      <c r="A30" s="8" t="n">
        <v>43950</v>
      </c>
      <c r="B30" s="9" t="s">
        <v>37</v>
      </c>
      <c r="C30" s="10" t="n">
        <v>10840.5</v>
      </c>
      <c r="D30" s="10" t="n">
        <v>797919</v>
      </c>
      <c r="E30" s="9" t="n">
        <v>10</v>
      </c>
      <c r="F30" s="9" t="n">
        <v>502</v>
      </c>
      <c r="G30" s="9" t="n">
        <v>433</v>
      </c>
      <c r="H30" s="9" t="n">
        <f aca="false">WEEKNUM(A30,21)</f>
        <v>18</v>
      </c>
      <c r="I30" s="8" t="n">
        <f aca="false">A30-WEEKDAY(A30,3)</f>
        <v>43948</v>
      </c>
      <c r="J30" s="10" t="n">
        <f aca="false">IFERROR(D30/E30,"")</f>
        <v>79791.9</v>
      </c>
      <c r="K30" s="11" t="n">
        <f aca="false">IFERROR(D30/F30,"")</f>
        <v>1589.48007968128</v>
      </c>
    </row>
    <row r="31" customFormat="false" ht="15" hidden="false" customHeight="false" outlineLevel="0" collapsed="false">
      <c r="A31" s="8" t="n">
        <v>43951</v>
      </c>
      <c r="B31" s="9" t="s">
        <v>25</v>
      </c>
      <c r="C31" s="10" t="n">
        <v>78235.5</v>
      </c>
      <c r="D31" s="10" t="n">
        <v>6819594</v>
      </c>
      <c r="E31" s="9" t="n">
        <v>36</v>
      </c>
      <c r="F31" s="9" t="n">
        <v>5143</v>
      </c>
      <c r="G31" s="9" t="n">
        <v>4715</v>
      </c>
      <c r="H31" s="9" t="n">
        <f aca="false">WEEKNUM(A31,21)</f>
        <v>18</v>
      </c>
      <c r="I31" s="8" t="n">
        <f aca="false">A31-WEEKDAY(A31,3)</f>
        <v>43948</v>
      </c>
      <c r="J31" s="10" t="n">
        <f aca="false">IFERROR(D31/E31,"")</f>
        <v>189433.166666667</v>
      </c>
      <c r="K31" s="11" t="n">
        <f aca="false">IFERROR(D31/F31,"")</f>
        <v>1325.99533346296</v>
      </c>
    </row>
    <row r="32" customFormat="false" ht="15" hidden="false" customHeight="false" outlineLevel="0" collapsed="false">
      <c r="A32" s="8" t="n">
        <v>43951</v>
      </c>
      <c r="B32" s="9" t="s">
        <v>26</v>
      </c>
      <c r="C32" s="10" t="n">
        <v>77565</v>
      </c>
      <c r="D32" s="10" t="n">
        <v>7023727.5</v>
      </c>
      <c r="E32" s="9" t="n">
        <v>31</v>
      </c>
      <c r="F32" s="9" t="n">
        <v>5120</v>
      </c>
      <c r="G32" s="9" t="n">
        <v>4737</v>
      </c>
      <c r="H32" s="9" t="n">
        <f aca="false">WEEKNUM(A32,21)</f>
        <v>18</v>
      </c>
      <c r="I32" s="8" t="n">
        <f aca="false">A32-WEEKDAY(A32,3)</f>
        <v>43948</v>
      </c>
      <c r="J32" s="10" t="n">
        <f aca="false">IFERROR(D32/E32,"")</f>
        <v>226571.85483871</v>
      </c>
      <c r="K32" s="11" t="n">
        <f aca="false">IFERROR(D32/F32,"")</f>
        <v>1371.82177734375</v>
      </c>
    </row>
    <row r="33" customFormat="false" ht="15" hidden="false" customHeight="false" outlineLevel="0" collapsed="false">
      <c r="A33" s="8" t="n">
        <v>43951</v>
      </c>
      <c r="B33" s="9" t="s">
        <v>27</v>
      </c>
      <c r="C33" s="10" t="n">
        <v>31231.5</v>
      </c>
      <c r="D33" s="10" t="n">
        <v>2853310.5</v>
      </c>
      <c r="E33" s="9" t="n">
        <v>20</v>
      </c>
      <c r="F33" s="9" t="n">
        <v>1756</v>
      </c>
      <c r="G33" s="9" t="n">
        <v>1586</v>
      </c>
      <c r="H33" s="9" t="n">
        <f aca="false">WEEKNUM(A33,21)</f>
        <v>18</v>
      </c>
      <c r="I33" s="8" t="n">
        <f aca="false">A33-WEEKDAY(A33,3)</f>
        <v>43948</v>
      </c>
      <c r="J33" s="10" t="n">
        <f aca="false">IFERROR(D33/E33,"")</f>
        <v>142665.525</v>
      </c>
      <c r="K33" s="11" t="n">
        <f aca="false">IFERROR(D33/F33,"")</f>
        <v>1624.89208428246</v>
      </c>
    </row>
    <row r="34" customFormat="false" ht="15" hidden="false" customHeight="false" outlineLevel="0" collapsed="false">
      <c r="A34" s="8" t="n">
        <v>43951</v>
      </c>
      <c r="B34" s="9" t="s">
        <v>28</v>
      </c>
      <c r="C34" s="10" t="n">
        <v>30445.5</v>
      </c>
      <c r="D34" s="10" t="n">
        <v>2817196.5</v>
      </c>
      <c r="E34" s="9" t="n">
        <v>19</v>
      </c>
      <c r="F34" s="9" t="n">
        <v>1712</v>
      </c>
      <c r="G34" s="9" t="n">
        <v>1552</v>
      </c>
      <c r="H34" s="9" t="n">
        <f aca="false">WEEKNUM(A34,21)</f>
        <v>18</v>
      </c>
      <c r="I34" s="8" t="n">
        <f aca="false">A34-WEEKDAY(A34,3)</f>
        <v>43948</v>
      </c>
      <c r="J34" s="10" t="n">
        <f aca="false">IFERROR(D34/E34,"")</f>
        <v>148273.5</v>
      </c>
      <c r="K34" s="11" t="n">
        <f aca="false">IFERROR(D34/F34,"")</f>
        <v>1645.55870327103</v>
      </c>
    </row>
    <row r="35" customFormat="false" ht="15" hidden="false" customHeight="false" outlineLevel="0" collapsed="false">
      <c r="A35" s="8" t="n">
        <v>43951</v>
      </c>
      <c r="B35" s="9" t="s">
        <v>29</v>
      </c>
      <c r="C35" s="10" t="n">
        <v>27883.5</v>
      </c>
      <c r="D35" s="10" t="n">
        <v>2560080</v>
      </c>
      <c r="E35" s="9" t="n">
        <v>19</v>
      </c>
      <c r="F35" s="9" t="n">
        <v>1662</v>
      </c>
      <c r="G35" s="9" t="n">
        <v>1506</v>
      </c>
      <c r="H35" s="9" t="n">
        <f aca="false">WEEKNUM(A35,21)</f>
        <v>18</v>
      </c>
      <c r="I35" s="8" t="n">
        <f aca="false">A35-WEEKDAY(A35,3)</f>
        <v>43948</v>
      </c>
      <c r="J35" s="10" t="n">
        <f aca="false">IFERROR(D35/E35,"")</f>
        <v>134741.052631579</v>
      </c>
      <c r="K35" s="11" t="n">
        <f aca="false">IFERROR(D35/F35,"")</f>
        <v>1540.36101083032</v>
      </c>
    </row>
    <row r="36" customFormat="false" ht="15" hidden="false" customHeight="false" outlineLevel="0" collapsed="false">
      <c r="A36" s="8" t="n">
        <v>43951</v>
      </c>
      <c r="B36" s="9" t="s">
        <v>30</v>
      </c>
      <c r="C36" s="10" t="n">
        <v>206038.5</v>
      </c>
      <c r="D36" s="10" t="n">
        <v>21740460</v>
      </c>
      <c r="E36" s="9" t="n">
        <v>54</v>
      </c>
      <c r="F36" s="9" t="n">
        <v>12817</v>
      </c>
      <c r="G36" s="9" t="n">
        <v>11865</v>
      </c>
      <c r="H36" s="9" t="n">
        <f aca="false">WEEKNUM(A36,21)</f>
        <v>18</v>
      </c>
      <c r="I36" s="8" t="n">
        <f aca="false">A36-WEEKDAY(A36,3)</f>
        <v>43948</v>
      </c>
      <c r="J36" s="10" t="n">
        <f aca="false">IFERROR(D36/E36,"")</f>
        <v>402601.111111111</v>
      </c>
      <c r="K36" s="11" t="n">
        <f aca="false">IFERROR(D36/F36,"")</f>
        <v>1696.22064445658</v>
      </c>
    </row>
    <row r="37" customFormat="false" ht="15" hidden="false" customHeight="false" outlineLevel="0" collapsed="false">
      <c r="A37" s="8" t="n">
        <v>43951</v>
      </c>
      <c r="B37" s="9" t="s">
        <v>31</v>
      </c>
      <c r="C37" s="10" t="n">
        <v>214386</v>
      </c>
      <c r="D37" s="10" t="n">
        <v>22530000</v>
      </c>
      <c r="E37" s="9" t="n">
        <v>59</v>
      </c>
      <c r="F37" s="9" t="n">
        <v>13251</v>
      </c>
      <c r="G37" s="9" t="n">
        <v>12255</v>
      </c>
      <c r="H37" s="9" t="n">
        <f aca="false">WEEKNUM(A37,21)</f>
        <v>18</v>
      </c>
      <c r="I37" s="8" t="n">
        <f aca="false">A37-WEEKDAY(A37,3)</f>
        <v>43948</v>
      </c>
      <c r="J37" s="10" t="n">
        <f aca="false">IFERROR(D37/E37,"")</f>
        <v>381864.406779661</v>
      </c>
      <c r="K37" s="11" t="n">
        <f aca="false">IFERROR(D37/F37,"")</f>
        <v>1700.24903780847</v>
      </c>
    </row>
    <row r="38" customFormat="false" ht="15" hidden="false" customHeight="false" outlineLevel="0" collapsed="false">
      <c r="A38" s="8" t="n">
        <v>43951</v>
      </c>
      <c r="B38" s="9" t="s">
        <v>32</v>
      </c>
      <c r="C38" s="10" t="n">
        <v>24211.5</v>
      </c>
      <c r="D38" s="10" t="n">
        <v>2267664</v>
      </c>
      <c r="E38" s="9" t="n">
        <v>19</v>
      </c>
      <c r="F38" s="9" t="n">
        <v>1499</v>
      </c>
      <c r="G38" s="9" t="n">
        <v>1322</v>
      </c>
      <c r="H38" s="9" t="n">
        <f aca="false">WEEKNUM(A38,21)</f>
        <v>18</v>
      </c>
      <c r="I38" s="8" t="n">
        <f aca="false">A38-WEEKDAY(A38,3)</f>
        <v>43948</v>
      </c>
      <c r="J38" s="10" t="n">
        <f aca="false">IFERROR(D38/E38,"")</f>
        <v>119350.736842105</v>
      </c>
      <c r="K38" s="11" t="n">
        <f aca="false">IFERROR(D38/F38,"")</f>
        <v>1512.78452301534</v>
      </c>
    </row>
    <row r="39" customFormat="false" ht="15" hidden="false" customHeight="false" outlineLevel="0" collapsed="false">
      <c r="A39" s="8" t="n">
        <v>43951</v>
      </c>
      <c r="B39" s="9" t="s">
        <v>33</v>
      </c>
      <c r="C39" s="10" t="n">
        <v>11976</v>
      </c>
      <c r="D39" s="10" t="n">
        <v>1004511</v>
      </c>
      <c r="E39" s="9" t="n">
        <v>15</v>
      </c>
      <c r="F39" s="9" t="n">
        <v>644</v>
      </c>
      <c r="G39" s="9" t="n">
        <v>550</v>
      </c>
      <c r="H39" s="9" t="n">
        <f aca="false">WEEKNUM(A39,21)</f>
        <v>18</v>
      </c>
      <c r="I39" s="8" t="n">
        <f aca="false">A39-WEEKDAY(A39,3)</f>
        <v>43948</v>
      </c>
      <c r="J39" s="10" t="n">
        <f aca="false">IFERROR(D39/E39,"")</f>
        <v>66967.4</v>
      </c>
      <c r="K39" s="11" t="n">
        <f aca="false">IFERROR(D39/F39,"")</f>
        <v>1559.79968944099</v>
      </c>
    </row>
    <row r="40" customFormat="false" ht="15" hidden="false" customHeight="false" outlineLevel="0" collapsed="false">
      <c r="A40" s="8" t="n">
        <v>43951</v>
      </c>
      <c r="B40" s="9" t="s">
        <v>34</v>
      </c>
      <c r="C40" s="10" t="n">
        <v>12753</v>
      </c>
      <c r="D40" s="10" t="n">
        <v>1103068.5</v>
      </c>
      <c r="E40" s="9" t="n">
        <v>15</v>
      </c>
      <c r="F40" s="9" t="n">
        <v>791</v>
      </c>
      <c r="G40" s="9" t="n">
        <v>691</v>
      </c>
      <c r="H40" s="9" t="n">
        <f aca="false">WEEKNUM(A40,21)</f>
        <v>18</v>
      </c>
      <c r="I40" s="8" t="n">
        <f aca="false">A40-WEEKDAY(A40,3)</f>
        <v>43948</v>
      </c>
      <c r="J40" s="10" t="n">
        <f aca="false">IFERROR(D40/E40,"")</f>
        <v>73537.9</v>
      </c>
      <c r="K40" s="11" t="n">
        <f aca="false">IFERROR(D40/F40,"")</f>
        <v>1394.52402022756</v>
      </c>
    </row>
    <row r="41" customFormat="false" ht="15" hidden="false" customHeight="false" outlineLevel="0" collapsed="false">
      <c r="A41" s="8" t="n">
        <v>43951</v>
      </c>
      <c r="B41" s="9" t="s">
        <v>38</v>
      </c>
      <c r="C41" s="10" t="n">
        <v>4285.5</v>
      </c>
      <c r="D41" s="10" t="n">
        <v>404691</v>
      </c>
      <c r="E41" s="9" t="n">
        <v>15</v>
      </c>
      <c r="F41" s="9" t="n">
        <v>262</v>
      </c>
      <c r="G41" s="9" t="n">
        <v>195</v>
      </c>
      <c r="H41" s="9" t="n">
        <f aca="false">WEEKNUM(A41,21)</f>
        <v>18</v>
      </c>
      <c r="I41" s="8" t="n">
        <f aca="false">A41-WEEKDAY(A41,3)</f>
        <v>43948</v>
      </c>
      <c r="J41" s="10" t="n">
        <f aca="false">IFERROR(D41/E41,"")</f>
        <v>26979.4</v>
      </c>
      <c r="K41" s="11" t="n">
        <f aca="false">IFERROR(D41/F41,"")</f>
        <v>1544.62213740458</v>
      </c>
    </row>
    <row r="42" customFormat="false" ht="15" hidden="false" customHeight="false" outlineLevel="0" collapsed="false">
      <c r="A42" s="8" t="n">
        <v>43951</v>
      </c>
      <c r="B42" s="9" t="s">
        <v>35</v>
      </c>
      <c r="C42" s="10" t="n">
        <v>401580</v>
      </c>
      <c r="D42" s="10" t="n">
        <v>43028734.5</v>
      </c>
      <c r="E42" s="9" t="n">
        <v>125</v>
      </c>
      <c r="F42" s="9" t="n">
        <v>22368</v>
      </c>
      <c r="G42" s="9" t="n">
        <v>20625</v>
      </c>
      <c r="H42" s="9" t="n">
        <f aca="false">WEEKNUM(A42,21)</f>
        <v>18</v>
      </c>
      <c r="I42" s="8" t="n">
        <f aca="false">A42-WEEKDAY(A42,3)</f>
        <v>43948</v>
      </c>
      <c r="J42" s="10" t="n">
        <f aca="false">IFERROR(D42/E42,"")</f>
        <v>344229.876</v>
      </c>
      <c r="K42" s="11" t="n">
        <f aca="false">IFERROR(D42/F42,"")</f>
        <v>1923.6737526824</v>
      </c>
    </row>
    <row r="43" customFormat="false" ht="15" hidden="false" customHeight="false" outlineLevel="0" collapsed="false">
      <c r="A43" s="8" t="n">
        <v>43951</v>
      </c>
      <c r="B43" s="9" t="s">
        <v>36</v>
      </c>
      <c r="C43" s="10" t="n">
        <v>311131.5</v>
      </c>
      <c r="D43" s="10" t="n">
        <v>32418879</v>
      </c>
      <c r="E43" s="9" t="n">
        <v>129</v>
      </c>
      <c r="F43" s="9" t="n">
        <v>18042</v>
      </c>
      <c r="G43" s="9" t="n">
        <v>16631</v>
      </c>
      <c r="H43" s="9" t="n">
        <f aca="false">WEEKNUM(A43,21)</f>
        <v>18</v>
      </c>
      <c r="I43" s="8" t="n">
        <f aca="false">A43-WEEKDAY(A43,3)</f>
        <v>43948</v>
      </c>
      <c r="J43" s="10" t="n">
        <f aca="false">IFERROR(D43/E43,"")</f>
        <v>251309.139534884</v>
      </c>
      <c r="K43" s="11" t="n">
        <f aca="false">IFERROR(D43/F43,"")</f>
        <v>1796.85616893914</v>
      </c>
    </row>
    <row r="44" customFormat="false" ht="15" hidden="false" customHeight="false" outlineLevel="0" collapsed="false">
      <c r="A44" s="8" t="n">
        <v>43951</v>
      </c>
      <c r="B44" s="9" t="s">
        <v>37</v>
      </c>
      <c r="C44" s="10" t="n">
        <v>8934</v>
      </c>
      <c r="D44" s="10" t="n">
        <v>716196</v>
      </c>
      <c r="E44" s="9" t="n">
        <v>10</v>
      </c>
      <c r="F44" s="9" t="n">
        <v>448</v>
      </c>
      <c r="G44" s="9" t="n">
        <v>376</v>
      </c>
      <c r="H44" s="9" t="n">
        <f aca="false">WEEKNUM(A44,21)</f>
        <v>18</v>
      </c>
      <c r="I44" s="8" t="n">
        <f aca="false">A44-WEEKDAY(A44,3)</f>
        <v>43948</v>
      </c>
      <c r="J44" s="10" t="n">
        <f aca="false">IFERROR(D44/E44,"")</f>
        <v>71619.6</v>
      </c>
      <c r="K44" s="11" t="n">
        <f aca="false">IFERROR(D44/F44,"")</f>
        <v>1598.65178571429</v>
      </c>
    </row>
    <row r="45" customFormat="false" ht="15" hidden="false" customHeight="false" outlineLevel="0" collapsed="false">
      <c r="A45" s="8" t="n">
        <v>43952</v>
      </c>
      <c r="B45" s="9" t="s">
        <v>25</v>
      </c>
      <c r="C45" s="10" t="n">
        <v>82228.5</v>
      </c>
      <c r="D45" s="10" t="n">
        <v>7032225</v>
      </c>
      <c r="E45" s="9" t="n">
        <v>36</v>
      </c>
      <c r="F45" s="9" t="n">
        <v>5457</v>
      </c>
      <c r="G45" s="9" t="n">
        <v>4916</v>
      </c>
      <c r="H45" s="9" t="n">
        <f aca="false">WEEKNUM(A45,21)</f>
        <v>18</v>
      </c>
      <c r="I45" s="8" t="n">
        <f aca="false">A45-WEEKDAY(A45,3)</f>
        <v>43948</v>
      </c>
      <c r="J45" s="10" t="n">
        <f aca="false">IFERROR(D45/E45,"")</f>
        <v>195339.583333333</v>
      </c>
      <c r="K45" s="11" t="n">
        <f aca="false">IFERROR(D45/F45,"")</f>
        <v>1288.66135239142</v>
      </c>
    </row>
    <row r="46" customFormat="false" ht="15" hidden="false" customHeight="false" outlineLevel="0" collapsed="false">
      <c r="A46" s="8" t="n">
        <v>43952</v>
      </c>
      <c r="B46" s="9" t="s">
        <v>26</v>
      </c>
      <c r="C46" s="10" t="n">
        <v>97534.5</v>
      </c>
      <c r="D46" s="10" t="n">
        <v>8893024.5</v>
      </c>
      <c r="E46" s="9" t="n">
        <v>31</v>
      </c>
      <c r="F46" s="9" t="n">
        <v>6118</v>
      </c>
      <c r="G46" s="9" t="n">
        <v>5564</v>
      </c>
      <c r="H46" s="9" t="n">
        <f aca="false">WEEKNUM(A46,21)</f>
        <v>18</v>
      </c>
      <c r="I46" s="8" t="n">
        <f aca="false">A46-WEEKDAY(A46,3)</f>
        <v>43948</v>
      </c>
      <c r="J46" s="10" t="n">
        <f aca="false">IFERROR(D46/E46,"")</f>
        <v>286871.758064516</v>
      </c>
      <c r="K46" s="11" t="n">
        <f aca="false">IFERROR(D46/F46,"")</f>
        <v>1453.58360575351</v>
      </c>
    </row>
    <row r="47" customFormat="false" ht="15" hidden="false" customHeight="false" outlineLevel="0" collapsed="false">
      <c r="A47" s="8" t="n">
        <v>43952</v>
      </c>
      <c r="B47" s="9" t="s">
        <v>27</v>
      </c>
      <c r="C47" s="10" t="n">
        <v>46620</v>
      </c>
      <c r="D47" s="10" t="n">
        <v>4293241.5</v>
      </c>
      <c r="E47" s="9" t="n">
        <v>20</v>
      </c>
      <c r="F47" s="9" t="n">
        <v>2468</v>
      </c>
      <c r="G47" s="9" t="n">
        <v>2221</v>
      </c>
      <c r="H47" s="9" t="n">
        <f aca="false">WEEKNUM(A47,21)</f>
        <v>18</v>
      </c>
      <c r="I47" s="8" t="n">
        <f aca="false">A47-WEEKDAY(A47,3)</f>
        <v>43948</v>
      </c>
      <c r="J47" s="10" t="n">
        <f aca="false">IFERROR(D47/E47,"")</f>
        <v>214662.075</v>
      </c>
      <c r="K47" s="11" t="n">
        <f aca="false">IFERROR(D47/F47,"")</f>
        <v>1739.56300648298</v>
      </c>
    </row>
    <row r="48" customFormat="false" ht="15" hidden="false" customHeight="false" outlineLevel="0" collapsed="false">
      <c r="A48" s="8" t="n">
        <v>43952</v>
      </c>
      <c r="B48" s="9" t="s">
        <v>28</v>
      </c>
      <c r="C48" s="10" t="n">
        <v>32487</v>
      </c>
      <c r="D48" s="10" t="n">
        <v>3031254</v>
      </c>
      <c r="E48" s="9" t="n">
        <v>18</v>
      </c>
      <c r="F48" s="9" t="n">
        <v>1826</v>
      </c>
      <c r="G48" s="9" t="n">
        <v>1633</v>
      </c>
      <c r="H48" s="9" t="n">
        <f aca="false">WEEKNUM(A48,21)</f>
        <v>18</v>
      </c>
      <c r="I48" s="8" t="n">
        <f aca="false">A48-WEEKDAY(A48,3)</f>
        <v>43948</v>
      </c>
      <c r="J48" s="10" t="n">
        <f aca="false">IFERROR(D48/E48,"")</f>
        <v>168403</v>
      </c>
      <c r="K48" s="11" t="n">
        <f aca="false">IFERROR(D48/F48,"")</f>
        <v>1660.05147864184</v>
      </c>
    </row>
    <row r="49" customFormat="false" ht="15" hidden="false" customHeight="false" outlineLevel="0" collapsed="false">
      <c r="A49" s="8" t="n">
        <v>43952</v>
      </c>
      <c r="B49" s="9" t="s">
        <v>29</v>
      </c>
      <c r="C49" s="10" t="n">
        <v>35190</v>
      </c>
      <c r="D49" s="10" t="n">
        <v>3168510</v>
      </c>
      <c r="E49" s="9" t="n">
        <v>19</v>
      </c>
      <c r="F49" s="9" t="n">
        <v>1987</v>
      </c>
      <c r="G49" s="9" t="n">
        <v>1791</v>
      </c>
      <c r="H49" s="9" t="n">
        <f aca="false">WEEKNUM(A49,21)</f>
        <v>18</v>
      </c>
      <c r="I49" s="8" t="n">
        <f aca="false">A49-WEEKDAY(A49,3)</f>
        <v>43948</v>
      </c>
      <c r="J49" s="10" t="n">
        <f aca="false">IFERROR(D49/E49,"")</f>
        <v>166763.684210526</v>
      </c>
      <c r="K49" s="11" t="n">
        <f aca="false">IFERROR(D49/F49,"")</f>
        <v>1594.62003019628</v>
      </c>
    </row>
    <row r="50" customFormat="false" ht="15" hidden="false" customHeight="false" outlineLevel="0" collapsed="false">
      <c r="A50" s="8" t="n">
        <v>43952</v>
      </c>
      <c r="B50" s="9" t="s">
        <v>30</v>
      </c>
      <c r="C50" s="10" t="n">
        <v>226540.5</v>
      </c>
      <c r="D50" s="10" t="n">
        <v>23953536</v>
      </c>
      <c r="E50" s="9" t="n">
        <v>54</v>
      </c>
      <c r="F50" s="9" t="n">
        <v>14205</v>
      </c>
      <c r="G50" s="9" t="n">
        <v>13026</v>
      </c>
      <c r="H50" s="9" t="n">
        <f aca="false">WEEKNUM(A50,21)</f>
        <v>18</v>
      </c>
      <c r="I50" s="8" t="n">
        <f aca="false">A50-WEEKDAY(A50,3)</f>
        <v>43948</v>
      </c>
      <c r="J50" s="10" t="n">
        <f aca="false">IFERROR(D50/E50,"")</f>
        <v>443584</v>
      </c>
      <c r="K50" s="11" t="n">
        <f aca="false">IFERROR(D50/F50,"")</f>
        <v>1686.27497360084</v>
      </c>
    </row>
    <row r="51" customFormat="false" ht="15" hidden="false" customHeight="false" outlineLevel="0" collapsed="false">
      <c r="A51" s="8" t="n">
        <v>43952</v>
      </c>
      <c r="B51" s="9" t="s">
        <v>31</v>
      </c>
      <c r="C51" s="10" t="n">
        <v>239409</v>
      </c>
      <c r="D51" s="10" t="n">
        <v>25413351</v>
      </c>
      <c r="E51" s="9" t="n">
        <v>59</v>
      </c>
      <c r="F51" s="9" t="n">
        <v>15222</v>
      </c>
      <c r="G51" s="9" t="n">
        <v>13873</v>
      </c>
      <c r="H51" s="9" t="n">
        <f aca="false">WEEKNUM(A51,21)</f>
        <v>18</v>
      </c>
      <c r="I51" s="8" t="n">
        <f aca="false">A51-WEEKDAY(A51,3)</f>
        <v>43948</v>
      </c>
      <c r="J51" s="10" t="n">
        <f aca="false">IFERROR(D51/E51,"")</f>
        <v>430734.762711864</v>
      </c>
      <c r="K51" s="11" t="n">
        <f aca="false">IFERROR(D51/F51,"")</f>
        <v>1669.51458415451</v>
      </c>
    </row>
    <row r="52" customFormat="false" ht="15" hidden="false" customHeight="false" outlineLevel="0" collapsed="false">
      <c r="A52" s="8" t="n">
        <v>43952</v>
      </c>
      <c r="B52" s="9" t="s">
        <v>32</v>
      </c>
      <c r="C52" s="10" t="n">
        <v>25792.5</v>
      </c>
      <c r="D52" s="10" t="n">
        <v>2374356</v>
      </c>
      <c r="E52" s="9" t="n">
        <v>19</v>
      </c>
      <c r="F52" s="9" t="n">
        <v>1497</v>
      </c>
      <c r="G52" s="9" t="n">
        <v>1291</v>
      </c>
      <c r="H52" s="9" t="n">
        <f aca="false">WEEKNUM(A52,21)</f>
        <v>18</v>
      </c>
      <c r="I52" s="8" t="n">
        <f aca="false">A52-WEEKDAY(A52,3)</f>
        <v>43948</v>
      </c>
      <c r="J52" s="10" t="n">
        <f aca="false">IFERROR(D52/E52,"")</f>
        <v>124966.105263158</v>
      </c>
      <c r="K52" s="11" t="n">
        <f aca="false">IFERROR(D52/F52,"")</f>
        <v>1586.07615230461</v>
      </c>
    </row>
    <row r="53" customFormat="false" ht="15" hidden="false" customHeight="false" outlineLevel="0" collapsed="false">
      <c r="A53" s="8" t="n">
        <v>43952</v>
      </c>
      <c r="B53" s="9" t="s">
        <v>33</v>
      </c>
      <c r="C53" s="10" t="n">
        <v>13644</v>
      </c>
      <c r="D53" s="10" t="n">
        <v>1134444</v>
      </c>
      <c r="E53" s="9" t="n">
        <v>15</v>
      </c>
      <c r="F53" s="9" t="n">
        <v>721</v>
      </c>
      <c r="G53" s="9" t="n">
        <v>625</v>
      </c>
      <c r="H53" s="9" t="n">
        <f aca="false">WEEKNUM(A53,21)</f>
        <v>18</v>
      </c>
      <c r="I53" s="8" t="n">
        <f aca="false">A53-WEEKDAY(A53,3)</f>
        <v>43948</v>
      </c>
      <c r="J53" s="10" t="n">
        <f aca="false">IFERROR(D53/E53,"")</f>
        <v>75629.6</v>
      </c>
      <c r="K53" s="11" t="n">
        <f aca="false">IFERROR(D53/F53,"")</f>
        <v>1573.43134535368</v>
      </c>
    </row>
    <row r="54" customFormat="false" ht="15" hidden="false" customHeight="false" outlineLevel="0" collapsed="false">
      <c r="A54" s="8" t="n">
        <v>43952</v>
      </c>
      <c r="B54" s="9" t="s">
        <v>34</v>
      </c>
      <c r="C54" s="10" t="n">
        <v>17113.5</v>
      </c>
      <c r="D54" s="10" t="n">
        <v>1465842</v>
      </c>
      <c r="E54" s="9" t="n">
        <v>15</v>
      </c>
      <c r="F54" s="9" t="n">
        <v>996</v>
      </c>
      <c r="G54" s="9" t="n">
        <v>888</v>
      </c>
      <c r="H54" s="9" t="n">
        <f aca="false">WEEKNUM(A54,21)</f>
        <v>18</v>
      </c>
      <c r="I54" s="8" t="n">
        <f aca="false">A54-WEEKDAY(A54,3)</f>
        <v>43948</v>
      </c>
      <c r="J54" s="10" t="n">
        <f aca="false">IFERROR(D54/E54,"")</f>
        <v>97722.8</v>
      </c>
      <c r="K54" s="11" t="n">
        <f aca="false">IFERROR(D54/F54,"")</f>
        <v>1471.72891566265</v>
      </c>
    </row>
    <row r="55" customFormat="false" ht="15" hidden="false" customHeight="false" outlineLevel="0" collapsed="false">
      <c r="A55" s="8" t="n">
        <v>43952</v>
      </c>
      <c r="B55" s="9" t="s">
        <v>38</v>
      </c>
      <c r="C55" s="10" t="n">
        <v>5446.5</v>
      </c>
      <c r="D55" s="10" t="n">
        <v>505572</v>
      </c>
      <c r="E55" s="9" t="n">
        <v>15</v>
      </c>
      <c r="F55" s="9" t="n">
        <v>294</v>
      </c>
      <c r="G55" s="9" t="n">
        <v>225</v>
      </c>
      <c r="H55" s="9" t="n">
        <f aca="false">WEEKNUM(A55,21)</f>
        <v>18</v>
      </c>
      <c r="I55" s="8" t="n">
        <f aca="false">A55-WEEKDAY(A55,3)</f>
        <v>43948</v>
      </c>
      <c r="J55" s="10" t="n">
        <f aca="false">IFERROR(D55/E55,"")</f>
        <v>33704.8</v>
      </c>
      <c r="K55" s="11" t="n">
        <f aca="false">IFERROR(D55/F55,"")</f>
        <v>1719.63265306122</v>
      </c>
    </row>
    <row r="56" customFormat="false" ht="15" hidden="false" customHeight="false" outlineLevel="0" collapsed="false">
      <c r="A56" s="8" t="n">
        <v>43952</v>
      </c>
      <c r="B56" s="9" t="s">
        <v>35</v>
      </c>
      <c r="C56" s="10" t="n">
        <v>372504</v>
      </c>
      <c r="D56" s="10" t="n">
        <v>40077193.5</v>
      </c>
      <c r="E56" s="9" t="n">
        <v>125</v>
      </c>
      <c r="F56" s="9" t="n">
        <v>20602</v>
      </c>
      <c r="G56" s="9" t="n">
        <v>18845</v>
      </c>
      <c r="H56" s="9" t="n">
        <f aca="false">WEEKNUM(A56,21)</f>
        <v>18</v>
      </c>
      <c r="I56" s="8" t="n">
        <f aca="false">A56-WEEKDAY(A56,3)</f>
        <v>43948</v>
      </c>
      <c r="J56" s="10" t="n">
        <f aca="false">IFERROR(D56/E56,"")</f>
        <v>320617.548</v>
      </c>
      <c r="K56" s="11" t="n">
        <f aca="false">IFERROR(D56/F56,"")</f>
        <v>1945.30596544025</v>
      </c>
    </row>
    <row r="57" customFormat="false" ht="15" hidden="false" customHeight="false" outlineLevel="0" collapsed="false">
      <c r="A57" s="8" t="n">
        <v>43952</v>
      </c>
      <c r="B57" s="9" t="s">
        <v>36</v>
      </c>
      <c r="C57" s="10" t="n">
        <v>296149.5</v>
      </c>
      <c r="D57" s="10" t="n">
        <v>31053316.5</v>
      </c>
      <c r="E57" s="9" t="n">
        <v>129</v>
      </c>
      <c r="F57" s="9" t="n">
        <v>17002</v>
      </c>
      <c r="G57" s="9" t="n">
        <v>15570</v>
      </c>
      <c r="H57" s="9" t="n">
        <f aca="false">WEEKNUM(A57,21)</f>
        <v>18</v>
      </c>
      <c r="I57" s="8" t="n">
        <f aca="false">A57-WEEKDAY(A57,3)</f>
        <v>43948</v>
      </c>
      <c r="J57" s="10" t="n">
        <f aca="false">IFERROR(D57/E57,"")</f>
        <v>240723.38372093</v>
      </c>
      <c r="K57" s="11" t="n">
        <f aca="false">IFERROR(D57/F57,"")</f>
        <v>1826.45079990589</v>
      </c>
    </row>
    <row r="58" customFormat="false" ht="15" hidden="false" customHeight="false" outlineLevel="0" collapsed="false">
      <c r="A58" s="8" t="n">
        <v>43952</v>
      </c>
      <c r="B58" s="9" t="s">
        <v>37</v>
      </c>
      <c r="C58" s="10" t="n">
        <v>11619</v>
      </c>
      <c r="D58" s="10" t="n">
        <v>891139.5</v>
      </c>
      <c r="E58" s="9" t="n">
        <v>10</v>
      </c>
      <c r="F58" s="9" t="n">
        <v>554</v>
      </c>
      <c r="G58" s="9" t="n">
        <v>472</v>
      </c>
      <c r="H58" s="9" t="n">
        <f aca="false">WEEKNUM(A58,21)</f>
        <v>18</v>
      </c>
      <c r="I58" s="8" t="n">
        <f aca="false">A58-WEEKDAY(A58,3)</f>
        <v>43948</v>
      </c>
      <c r="J58" s="10" t="n">
        <f aca="false">IFERROR(D58/E58,"")</f>
        <v>89113.95</v>
      </c>
      <c r="K58" s="11" t="n">
        <f aca="false">IFERROR(D58/F58,"")</f>
        <v>1608.55505415162</v>
      </c>
    </row>
    <row r="59" customFormat="false" ht="15" hidden="false" customHeight="false" outlineLevel="0" collapsed="false">
      <c r="A59" s="8" t="n">
        <v>43953</v>
      </c>
      <c r="B59" s="9" t="s">
        <v>25</v>
      </c>
      <c r="C59" s="10" t="n">
        <v>46216.5</v>
      </c>
      <c r="D59" s="10" t="n">
        <v>4118251.5</v>
      </c>
      <c r="E59" s="9" t="n">
        <v>36</v>
      </c>
      <c r="F59" s="9" t="n">
        <v>3442</v>
      </c>
      <c r="G59" s="9" t="n">
        <v>3147</v>
      </c>
      <c r="H59" s="9" t="n">
        <f aca="false">WEEKNUM(A59,21)</f>
        <v>18</v>
      </c>
      <c r="I59" s="8" t="n">
        <f aca="false">A59-WEEKDAY(A59,3)</f>
        <v>43948</v>
      </c>
      <c r="J59" s="10" t="n">
        <f aca="false">IFERROR(D59/E59,"")</f>
        <v>114395.875</v>
      </c>
      <c r="K59" s="11" t="n">
        <f aca="false">IFERROR(D59/F59,"")</f>
        <v>1196.47051133062</v>
      </c>
    </row>
    <row r="60" customFormat="false" ht="15" hidden="false" customHeight="false" outlineLevel="0" collapsed="false">
      <c r="A60" s="8" t="n">
        <v>43953</v>
      </c>
      <c r="B60" s="9" t="s">
        <v>26</v>
      </c>
      <c r="C60" s="10" t="n">
        <v>60463.5</v>
      </c>
      <c r="D60" s="10" t="n">
        <v>5554192.5</v>
      </c>
      <c r="E60" s="9" t="n">
        <v>31</v>
      </c>
      <c r="F60" s="9" t="n">
        <v>4157</v>
      </c>
      <c r="G60" s="9" t="n">
        <v>3823</v>
      </c>
      <c r="H60" s="9" t="n">
        <f aca="false">WEEKNUM(A60,21)</f>
        <v>18</v>
      </c>
      <c r="I60" s="8" t="n">
        <f aca="false">A60-WEEKDAY(A60,3)</f>
        <v>43948</v>
      </c>
      <c r="J60" s="10" t="n">
        <f aca="false">IFERROR(D60/E60,"")</f>
        <v>179167.5</v>
      </c>
      <c r="K60" s="11" t="n">
        <f aca="false">IFERROR(D60/F60,"")</f>
        <v>1336.10596584075</v>
      </c>
    </row>
    <row r="61" customFormat="false" ht="15" hidden="false" customHeight="false" outlineLevel="0" collapsed="false">
      <c r="A61" s="8" t="n">
        <v>43953</v>
      </c>
      <c r="B61" s="9" t="s">
        <v>27</v>
      </c>
      <c r="C61" s="10" t="n">
        <v>26428.5</v>
      </c>
      <c r="D61" s="10" t="n">
        <v>2470465.5</v>
      </c>
      <c r="E61" s="9" t="n">
        <v>20</v>
      </c>
      <c r="F61" s="9" t="n">
        <v>1613</v>
      </c>
      <c r="G61" s="9" t="n">
        <v>1457</v>
      </c>
      <c r="H61" s="9" t="n">
        <f aca="false">WEEKNUM(A61,21)</f>
        <v>18</v>
      </c>
      <c r="I61" s="8" t="n">
        <f aca="false">A61-WEEKDAY(A61,3)</f>
        <v>43948</v>
      </c>
      <c r="J61" s="10" t="n">
        <f aca="false">IFERROR(D61/E61,"")</f>
        <v>123523.275</v>
      </c>
      <c r="K61" s="11" t="n">
        <f aca="false">IFERROR(D61/F61,"")</f>
        <v>1531.59671419715</v>
      </c>
    </row>
    <row r="62" customFormat="false" ht="15" hidden="false" customHeight="false" outlineLevel="0" collapsed="false">
      <c r="A62" s="8" t="n">
        <v>43953</v>
      </c>
      <c r="B62" s="9" t="s">
        <v>28</v>
      </c>
      <c r="C62" s="10" t="n">
        <v>29031</v>
      </c>
      <c r="D62" s="10" t="n">
        <v>2711247</v>
      </c>
      <c r="E62" s="9" t="n">
        <v>18</v>
      </c>
      <c r="F62" s="9" t="n">
        <v>1708</v>
      </c>
      <c r="G62" s="9" t="n">
        <v>1534</v>
      </c>
      <c r="H62" s="9" t="n">
        <f aca="false">WEEKNUM(A62,21)</f>
        <v>18</v>
      </c>
      <c r="I62" s="8" t="n">
        <f aca="false">A62-WEEKDAY(A62,3)</f>
        <v>43948</v>
      </c>
      <c r="J62" s="10" t="n">
        <f aca="false">IFERROR(D62/E62,"")</f>
        <v>150624.833333333</v>
      </c>
      <c r="K62" s="11" t="n">
        <f aca="false">IFERROR(D62/F62,"")</f>
        <v>1587.38114754098</v>
      </c>
    </row>
    <row r="63" customFormat="false" ht="15" hidden="false" customHeight="false" outlineLevel="0" collapsed="false">
      <c r="A63" s="8" t="n">
        <v>43953</v>
      </c>
      <c r="B63" s="9" t="s">
        <v>29</v>
      </c>
      <c r="C63" s="10" t="n">
        <v>18427.5</v>
      </c>
      <c r="D63" s="10" t="n">
        <v>1682851.5</v>
      </c>
      <c r="E63" s="9" t="n">
        <v>19</v>
      </c>
      <c r="F63" s="9" t="n">
        <v>1206</v>
      </c>
      <c r="G63" s="9" t="n">
        <v>1080</v>
      </c>
      <c r="H63" s="9" t="n">
        <f aca="false">WEEKNUM(A63,21)</f>
        <v>18</v>
      </c>
      <c r="I63" s="8" t="n">
        <f aca="false">A63-WEEKDAY(A63,3)</f>
        <v>43948</v>
      </c>
      <c r="J63" s="10" t="n">
        <f aca="false">IFERROR(D63/E63,"")</f>
        <v>88571.1315789474</v>
      </c>
      <c r="K63" s="11" t="n">
        <f aca="false">IFERROR(D63/F63,"")</f>
        <v>1395.39925373134</v>
      </c>
    </row>
    <row r="64" customFormat="false" ht="15" hidden="false" customHeight="false" outlineLevel="0" collapsed="false">
      <c r="A64" s="8" t="n">
        <v>43953</v>
      </c>
      <c r="B64" s="9" t="s">
        <v>30</v>
      </c>
      <c r="C64" s="10" t="n">
        <v>176397</v>
      </c>
      <c r="D64" s="10" t="n">
        <v>18625921.5</v>
      </c>
      <c r="E64" s="9" t="n">
        <v>54</v>
      </c>
      <c r="F64" s="9" t="n">
        <v>11622</v>
      </c>
      <c r="G64" s="9" t="n">
        <v>10754</v>
      </c>
      <c r="H64" s="9" t="n">
        <f aca="false">WEEKNUM(A64,21)</f>
        <v>18</v>
      </c>
      <c r="I64" s="8" t="n">
        <f aca="false">A64-WEEKDAY(A64,3)</f>
        <v>43948</v>
      </c>
      <c r="J64" s="10" t="n">
        <f aca="false">IFERROR(D64/E64,"")</f>
        <v>344924.472222222</v>
      </c>
      <c r="K64" s="11" t="n">
        <f aca="false">IFERROR(D64/F64,"")</f>
        <v>1602.64339184306</v>
      </c>
    </row>
    <row r="65" customFormat="false" ht="15" hidden="false" customHeight="false" outlineLevel="0" collapsed="false">
      <c r="A65" s="8" t="n">
        <v>43953</v>
      </c>
      <c r="B65" s="9" t="s">
        <v>31</v>
      </c>
      <c r="C65" s="10" t="n">
        <v>185979</v>
      </c>
      <c r="D65" s="10" t="n">
        <v>19625364</v>
      </c>
      <c r="E65" s="9" t="n">
        <v>59</v>
      </c>
      <c r="F65" s="9" t="n">
        <v>12429</v>
      </c>
      <c r="G65" s="9" t="n">
        <v>11477</v>
      </c>
      <c r="H65" s="9" t="n">
        <f aca="false">WEEKNUM(A65,21)</f>
        <v>18</v>
      </c>
      <c r="I65" s="8" t="n">
        <f aca="false">A65-WEEKDAY(A65,3)</f>
        <v>43948</v>
      </c>
      <c r="J65" s="10" t="n">
        <f aca="false">IFERROR(D65/E65,"")</f>
        <v>332633.288135593</v>
      </c>
      <c r="K65" s="11" t="n">
        <f aca="false">IFERROR(D65/F65,"")</f>
        <v>1578.99782766112</v>
      </c>
    </row>
    <row r="66" customFormat="false" ht="15" hidden="false" customHeight="false" outlineLevel="0" collapsed="false">
      <c r="A66" s="8" t="n">
        <v>43953</v>
      </c>
      <c r="B66" s="9" t="s">
        <v>32</v>
      </c>
      <c r="C66" s="10" t="n">
        <v>19461</v>
      </c>
      <c r="D66" s="10" t="n">
        <v>1799230.5</v>
      </c>
      <c r="E66" s="9" t="n">
        <v>19</v>
      </c>
      <c r="F66" s="9" t="n">
        <v>1217</v>
      </c>
      <c r="G66" s="9" t="n">
        <v>1048</v>
      </c>
      <c r="H66" s="9" t="n">
        <f aca="false">WEEKNUM(A66,21)</f>
        <v>18</v>
      </c>
      <c r="I66" s="8" t="n">
        <f aca="false">A66-WEEKDAY(A66,3)</f>
        <v>43948</v>
      </c>
      <c r="J66" s="10" t="n">
        <f aca="false">IFERROR(D66/E66,"")</f>
        <v>94696.3421052632</v>
      </c>
      <c r="K66" s="11" t="n">
        <f aca="false">IFERROR(D66/F66,"")</f>
        <v>1478.41454396056</v>
      </c>
    </row>
    <row r="67" customFormat="false" ht="15" hidden="false" customHeight="false" outlineLevel="0" collapsed="false">
      <c r="A67" s="8" t="n">
        <v>43953</v>
      </c>
      <c r="B67" s="9" t="s">
        <v>33</v>
      </c>
      <c r="C67" s="10" t="n">
        <v>10018.5</v>
      </c>
      <c r="D67" s="10" t="n">
        <v>816859.5</v>
      </c>
      <c r="E67" s="9" t="n">
        <v>15</v>
      </c>
      <c r="F67" s="9" t="n">
        <v>567</v>
      </c>
      <c r="G67" s="9" t="n">
        <v>493</v>
      </c>
      <c r="H67" s="9" t="n">
        <f aca="false">WEEKNUM(A67,21)</f>
        <v>18</v>
      </c>
      <c r="I67" s="8" t="n">
        <f aca="false">A67-WEEKDAY(A67,3)</f>
        <v>43948</v>
      </c>
      <c r="J67" s="10" t="n">
        <f aca="false">IFERROR(D67/E67,"")</f>
        <v>54457.3</v>
      </c>
      <c r="K67" s="11" t="n">
        <f aca="false">IFERROR(D67/F67,"")</f>
        <v>1440.66931216931</v>
      </c>
    </row>
    <row r="68" customFormat="false" ht="15" hidden="false" customHeight="false" outlineLevel="0" collapsed="false">
      <c r="A68" s="8" t="n">
        <v>43953</v>
      </c>
      <c r="B68" s="9" t="s">
        <v>34</v>
      </c>
      <c r="C68" s="10" t="n">
        <v>12313.5</v>
      </c>
      <c r="D68" s="10" t="n">
        <v>1053220.5</v>
      </c>
      <c r="E68" s="9" t="n">
        <v>15</v>
      </c>
      <c r="F68" s="9" t="n">
        <v>751</v>
      </c>
      <c r="G68" s="9" t="n">
        <v>651</v>
      </c>
      <c r="H68" s="9" t="n">
        <f aca="false">WEEKNUM(A68,21)</f>
        <v>18</v>
      </c>
      <c r="I68" s="8" t="n">
        <f aca="false">A68-WEEKDAY(A68,3)</f>
        <v>43948</v>
      </c>
      <c r="J68" s="10" t="n">
        <f aca="false">IFERROR(D68/E68,"")</f>
        <v>70214.7</v>
      </c>
      <c r="K68" s="11" t="n">
        <f aca="false">IFERROR(D68/F68,"")</f>
        <v>1402.4241011984</v>
      </c>
    </row>
    <row r="69" customFormat="false" ht="15" hidden="false" customHeight="false" outlineLevel="0" collapsed="false">
      <c r="A69" s="8" t="n">
        <v>43953</v>
      </c>
      <c r="B69" s="9" t="s">
        <v>38</v>
      </c>
      <c r="C69" s="10" t="n">
        <v>4624.5</v>
      </c>
      <c r="D69" s="10" t="n">
        <v>433243.5</v>
      </c>
      <c r="E69" s="9" t="n">
        <v>15</v>
      </c>
      <c r="F69" s="9" t="n">
        <v>274</v>
      </c>
      <c r="G69" s="9" t="n">
        <v>203</v>
      </c>
      <c r="H69" s="9" t="n">
        <f aca="false">WEEKNUM(A69,21)</f>
        <v>18</v>
      </c>
      <c r="I69" s="8" t="n">
        <f aca="false">A69-WEEKDAY(A69,3)</f>
        <v>43948</v>
      </c>
      <c r="J69" s="10" t="n">
        <f aca="false">IFERROR(D69/E69,"")</f>
        <v>28882.9</v>
      </c>
      <c r="K69" s="11" t="n">
        <f aca="false">IFERROR(D69/F69,"")</f>
        <v>1581.18065693431</v>
      </c>
    </row>
    <row r="70" customFormat="false" ht="15" hidden="false" customHeight="false" outlineLevel="0" collapsed="false">
      <c r="A70" s="8" t="n">
        <v>43953</v>
      </c>
      <c r="B70" s="9" t="s">
        <v>35</v>
      </c>
      <c r="C70" s="10" t="n">
        <v>296580</v>
      </c>
      <c r="D70" s="10" t="n">
        <v>31843737</v>
      </c>
      <c r="E70" s="9" t="n">
        <v>125</v>
      </c>
      <c r="F70" s="9" t="n">
        <v>16932</v>
      </c>
      <c r="G70" s="9" t="n">
        <v>15601</v>
      </c>
      <c r="H70" s="9" t="n">
        <f aca="false">WEEKNUM(A70,21)</f>
        <v>18</v>
      </c>
      <c r="I70" s="8" t="n">
        <f aca="false">A70-WEEKDAY(A70,3)</f>
        <v>43948</v>
      </c>
      <c r="J70" s="10" t="n">
        <f aca="false">IFERROR(D70/E70,"")</f>
        <v>254749.896</v>
      </c>
      <c r="K70" s="11" t="n">
        <f aca="false">IFERROR(D70/F70,"")</f>
        <v>1880.68373493976</v>
      </c>
    </row>
    <row r="71" customFormat="false" ht="15" hidden="false" customHeight="false" outlineLevel="0" collapsed="false">
      <c r="A71" s="8" t="n">
        <v>43953</v>
      </c>
      <c r="B71" s="9" t="s">
        <v>36</v>
      </c>
      <c r="C71" s="10" t="n">
        <v>232903.5</v>
      </c>
      <c r="D71" s="10" t="n">
        <v>24342016.5</v>
      </c>
      <c r="E71" s="9" t="n">
        <v>129</v>
      </c>
      <c r="F71" s="9" t="n">
        <v>14009</v>
      </c>
      <c r="G71" s="9" t="n">
        <v>12920</v>
      </c>
      <c r="H71" s="9" t="n">
        <f aca="false">WEEKNUM(A71,21)</f>
        <v>18</v>
      </c>
      <c r="I71" s="8" t="n">
        <f aca="false">A71-WEEKDAY(A71,3)</f>
        <v>43948</v>
      </c>
      <c r="J71" s="10" t="n">
        <f aca="false">IFERROR(D71/E71,"")</f>
        <v>188697.802325581</v>
      </c>
      <c r="K71" s="11" t="n">
        <f aca="false">IFERROR(D71/F71,"")</f>
        <v>1737.59843671925</v>
      </c>
    </row>
    <row r="72" customFormat="false" ht="15" hidden="false" customHeight="false" outlineLevel="0" collapsed="false">
      <c r="A72" s="8" t="n">
        <v>43953</v>
      </c>
      <c r="B72" s="9" t="s">
        <v>37</v>
      </c>
      <c r="C72" s="10" t="n">
        <v>7866</v>
      </c>
      <c r="D72" s="10" t="n">
        <v>617881.5</v>
      </c>
      <c r="E72" s="9" t="n">
        <v>10</v>
      </c>
      <c r="F72" s="9" t="n">
        <v>416</v>
      </c>
      <c r="G72" s="9" t="n">
        <v>341</v>
      </c>
      <c r="H72" s="9" t="n">
        <f aca="false">WEEKNUM(A72,21)</f>
        <v>18</v>
      </c>
      <c r="I72" s="8" t="n">
        <f aca="false">A72-WEEKDAY(A72,3)</f>
        <v>43948</v>
      </c>
      <c r="J72" s="10" t="n">
        <f aca="false">IFERROR(D72/E72,"")</f>
        <v>61788.15</v>
      </c>
      <c r="K72" s="11" t="n">
        <f aca="false">IFERROR(D72/F72,"")</f>
        <v>1485.29206730769</v>
      </c>
    </row>
    <row r="73" customFormat="false" ht="15" hidden="false" customHeight="false" outlineLevel="0" collapsed="false">
      <c r="A73" s="8" t="n">
        <v>43954</v>
      </c>
      <c r="B73" s="9" t="s">
        <v>25</v>
      </c>
      <c r="C73" s="10" t="n">
        <v>70581</v>
      </c>
      <c r="D73" s="10" t="n">
        <v>6221320.5</v>
      </c>
      <c r="E73" s="9" t="n">
        <v>36</v>
      </c>
      <c r="F73" s="9" t="n">
        <v>4751</v>
      </c>
      <c r="G73" s="9" t="n">
        <v>4370</v>
      </c>
      <c r="H73" s="9" t="n">
        <f aca="false">WEEKNUM(A73,21)</f>
        <v>18</v>
      </c>
      <c r="I73" s="8" t="n">
        <f aca="false">A73-WEEKDAY(A73,3)</f>
        <v>43948</v>
      </c>
      <c r="J73" s="10" t="n">
        <f aca="false">IFERROR(D73/E73,"")</f>
        <v>172814.458333333</v>
      </c>
      <c r="K73" s="11" t="n">
        <f aca="false">IFERROR(D73/F73,"")</f>
        <v>1309.47600505157</v>
      </c>
    </row>
    <row r="74" customFormat="false" ht="15" hidden="false" customHeight="false" outlineLevel="0" collapsed="false">
      <c r="A74" s="8" t="n">
        <v>43954</v>
      </c>
      <c r="B74" s="9" t="s">
        <v>26</v>
      </c>
      <c r="C74" s="10" t="n">
        <v>77263.5</v>
      </c>
      <c r="D74" s="10" t="n">
        <v>7013670</v>
      </c>
      <c r="E74" s="9" t="n">
        <v>31</v>
      </c>
      <c r="F74" s="9" t="n">
        <v>5155</v>
      </c>
      <c r="G74" s="9" t="n">
        <v>4762</v>
      </c>
      <c r="H74" s="9" t="n">
        <f aca="false">WEEKNUM(A74,21)</f>
        <v>18</v>
      </c>
      <c r="I74" s="8" t="n">
        <f aca="false">A74-WEEKDAY(A74,3)</f>
        <v>43948</v>
      </c>
      <c r="J74" s="10" t="n">
        <f aca="false">IFERROR(D74/E74,"")</f>
        <v>226247.419354839</v>
      </c>
      <c r="K74" s="11" t="n">
        <f aca="false">IFERROR(D74/F74,"")</f>
        <v>1360.55674102813</v>
      </c>
    </row>
    <row r="75" customFormat="false" ht="15" hidden="false" customHeight="false" outlineLevel="0" collapsed="false">
      <c r="A75" s="8" t="n">
        <v>43954</v>
      </c>
      <c r="B75" s="9" t="s">
        <v>27</v>
      </c>
      <c r="C75" s="10" t="n">
        <v>29935.5</v>
      </c>
      <c r="D75" s="10" t="n">
        <v>2720002.5</v>
      </c>
      <c r="E75" s="9" t="n">
        <v>20</v>
      </c>
      <c r="F75" s="9" t="n">
        <v>1716</v>
      </c>
      <c r="G75" s="9" t="n">
        <v>1561</v>
      </c>
      <c r="H75" s="9" t="n">
        <f aca="false">WEEKNUM(A75,21)</f>
        <v>18</v>
      </c>
      <c r="I75" s="8" t="n">
        <f aca="false">A75-WEEKDAY(A75,3)</f>
        <v>43948</v>
      </c>
      <c r="J75" s="10" t="n">
        <f aca="false">IFERROR(D75/E75,"")</f>
        <v>136000.125</v>
      </c>
      <c r="K75" s="11" t="n">
        <f aca="false">IFERROR(D75/F75,"")</f>
        <v>1585.08304195804</v>
      </c>
    </row>
    <row r="76" customFormat="false" ht="15" hidden="false" customHeight="false" outlineLevel="0" collapsed="false">
      <c r="A76" s="8" t="n">
        <v>43954</v>
      </c>
      <c r="B76" s="9" t="s">
        <v>28</v>
      </c>
      <c r="C76" s="10" t="n">
        <v>26082</v>
      </c>
      <c r="D76" s="10" t="n">
        <v>2434914</v>
      </c>
      <c r="E76" s="9" t="n">
        <v>20</v>
      </c>
      <c r="F76" s="9" t="n">
        <v>1520</v>
      </c>
      <c r="G76" s="9" t="n">
        <v>1373</v>
      </c>
      <c r="H76" s="9" t="n">
        <f aca="false">WEEKNUM(A76,21)</f>
        <v>18</v>
      </c>
      <c r="I76" s="8" t="n">
        <f aca="false">A76-WEEKDAY(A76,3)</f>
        <v>43948</v>
      </c>
      <c r="J76" s="10" t="n">
        <f aca="false">IFERROR(D76/E76,"")</f>
        <v>121745.7</v>
      </c>
      <c r="K76" s="11" t="n">
        <f aca="false">IFERROR(D76/F76,"")</f>
        <v>1601.91710526316</v>
      </c>
    </row>
    <row r="77" customFormat="false" ht="15" hidden="false" customHeight="false" outlineLevel="0" collapsed="false">
      <c r="A77" s="8" t="n">
        <v>43954</v>
      </c>
      <c r="B77" s="9" t="s">
        <v>29</v>
      </c>
      <c r="C77" s="10" t="n">
        <v>21343.5</v>
      </c>
      <c r="D77" s="10" t="n">
        <v>1906557</v>
      </c>
      <c r="E77" s="9" t="n">
        <v>19</v>
      </c>
      <c r="F77" s="9" t="n">
        <v>1314</v>
      </c>
      <c r="G77" s="9" t="n">
        <v>1192</v>
      </c>
      <c r="H77" s="9" t="n">
        <f aca="false">WEEKNUM(A77,21)</f>
        <v>18</v>
      </c>
      <c r="I77" s="8" t="n">
        <f aca="false">A77-WEEKDAY(A77,3)</f>
        <v>43948</v>
      </c>
      <c r="J77" s="10" t="n">
        <f aca="false">IFERROR(D77/E77,"")</f>
        <v>100345.105263158</v>
      </c>
      <c r="K77" s="11" t="n">
        <f aca="false">IFERROR(D77/F77,"")</f>
        <v>1450.95662100457</v>
      </c>
    </row>
    <row r="78" customFormat="false" ht="15" hidden="false" customHeight="false" outlineLevel="0" collapsed="false">
      <c r="A78" s="8" t="n">
        <v>43954</v>
      </c>
      <c r="B78" s="9" t="s">
        <v>30</v>
      </c>
      <c r="C78" s="10" t="n">
        <v>248148</v>
      </c>
      <c r="D78" s="10" t="n">
        <v>25519072.5</v>
      </c>
      <c r="E78" s="9" t="n">
        <v>54</v>
      </c>
      <c r="F78" s="9" t="n">
        <v>14823</v>
      </c>
      <c r="G78" s="9" t="n">
        <v>13751</v>
      </c>
      <c r="H78" s="9" t="n">
        <f aca="false">WEEKNUM(A78,21)</f>
        <v>18</v>
      </c>
      <c r="I78" s="8" t="n">
        <f aca="false">A78-WEEKDAY(A78,3)</f>
        <v>43948</v>
      </c>
      <c r="J78" s="10" t="n">
        <f aca="false">IFERROR(D78/E78,"")</f>
        <v>472575.416666667</v>
      </c>
      <c r="K78" s="11" t="n">
        <f aca="false">IFERROR(D78/F78,"")</f>
        <v>1721.58621736491</v>
      </c>
    </row>
    <row r="79" customFormat="false" ht="15" hidden="false" customHeight="false" outlineLevel="0" collapsed="false">
      <c r="A79" s="8" t="n">
        <v>43954</v>
      </c>
      <c r="B79" s="9" t="s">
        <v>31</v>
      </c>
      <c r="C79" s="10" t="n">
        <v>257215.5</v>
      </c>
      <c r="D79" s="10" t="n">
        <v>26492278.5</v>
      </c>
      <c r="E79" s="9" t="n">
        <v>59</v>
      </c>
      <c r="F79" s="9" t="n">
        <v>15277</v>
      </c>
      <c r="G79" s="9" t="n">
        <v>14163</v>
      </c>
      <c r="H79" s="9" t="n">
        <f aca="false">WEEKNUM(A79,21)</f>
        <v>18</v>
      </c>
      <c r="I79" s="8" t="n">
        <f aca="false">A79-WEEKDAY(A79,3)</f>
        <v>43948</v>
      </c>
      <c r="J79" s="10" t="n">
        <f aca="false">IFERROR(D79/E79,"")</f>
        <v>449021.669491525</v>
      </c>
      <c r="K79" s="11" t="n">
        <f aca="false">IFERROR(D79/F79,"")</f>
        <v>1734.12833016954</v>
      </c>
    </row>
    <row r="80" customFormat="false" ht="15" hidden="false" customHeight="false" outlineLevel="0" collapsed="false">
      <c r="A80" s="8" t="n">
        <v>43954</v>
      </c>
      <c r="B80" s="9" t="s">
        <v>32</v>
      </c>
      <c r="C80" s="10" t="n">
        <v>23539.5</v>
      </c>
      <c r="D80" s="10" t="n">
        <v>2170309.5</v>
      </c>
      <c r="E80" s="9" t="n">
        <v>19</v>
      </c>
      <c r="F80" s="9" t="n">
        <v>1402</v>
      </c>
      <c r="G80" s="9" t="n">
        <v>1234</v>
      </c>
      <c r="H80" s="9" t="n">
        <f aca="false">WEEKNUM(A80,21)</f>
        <v>18</v>
      </c>
      <c r="I80" s="8" t="n">
        <f aca="false">A80-WEEKDAY(A80,3)</f>
        <v>43948</v>
      </c>
      <c r="J80" s="10" t="n">
        <f aca="false">IFERROR(D80/E80,"")</f>
        <v>114226.815789474</v>
      </c>
      <c r="K80" s="11" t="n">
        <f aca="false">IFERROR(D80/F80,"")</f>
        <v>1548.00962910128</v>
      </c>
    </row>
    <row r="81" customFormat="false" ht="15" hidden="false" customHeight="false" outlineLevel="0" collapsed="false">
      <c r="A81" s="8" t="n">
        <v>43954</v>
      </c>
      <c r="B81" s="9" t="s">
        <v>33</v>
      </c>
      <c r="C81" s="10" t="n">
        <v>10032</v>
      </c>
      <c r="D81" s="10" t="n">
        <v>816150</v>
      </c>
      <c r="E81" s="9" t="n">
        <v>15</v>
      </c>
      <c r="F81" s="9" t="n">
        <v>585</v>
      </c>
      <c r="G81" s="9" t="n">
        <v>502</v>
      </c>
      <c r="H81" s="9" t="n">
        <f aca="false">WEEKNUM(A81,21)</f>
        <v>18</v>
      </c>
      <c r="I81" s="8" t="n">
        <f aca="false">A81-WEEKDAY(A81,3)</f>
        <v>43948</v>
      </c>
      <c r="J81" s="10" t="n">
        <f aca="false">IFERROR(D81/E81,"")</f>
        <v>54410</v>
      </c>
      <c r="K81" s="11" t="n">
        <f aca="false">IFERROR(D81/F81,"")</f>
        <v>1395.12820512821</v>
      </c>
    </row>
    <row r="82" customFormat="false" ht="15" hidden="false" customHeight="false" outlineLevel="0" collapsed="false">
      <c r="A82" s="8" t="n">
        <v>43954</v>
      </c>
      <c r="B82" s="9" t="s">
        <v>34</v>
      </c>
      <c r="C82" s="10" t="n">
        <v>12924</v>
      </c>
      <c r="D82" s="10" t="n">
        <v>1120009.5</v>
      </c>
      <c r="E82" s="9" t="n">
        <v>15</v>
      </c>
      <c r="F82" s="9" t="n">
        <v>784</v>
      </c>
      <c r="G82" s="9" t="n">
        <v>696</v>
      </c>
      <c r="H82" s="9" t="n">
        <f aca="false">WEEKNUM(A82,21)</f>
        <v>18</v>
      </c>
      <c r="I82" s="8" t="n">
        <f aca="false">A82-WEEKDAY(A82,3)</f>
        <v>43948</v>
      </c>
      <c r="J82" s="10" t="n">
        <f aca="false">IFERROR(D82/E82,"")</f>
        <v>74667.3</v>
      </c>
      <c r="K82" s="11" t="n">
        <f aca="false">IFERROR(D82/F82,"")</f>
        <v>1428.58354591837</v>
      </c>
    </row>
    <row r="83" customFormat="false" ht="15" hidden="false" customHeight="false" outlineLevel="0" collapsed="false">
      <c r="A83" s="8" t="n">
        <v>43954</v>
      </c>
      <c r="B83" s="9" t="s">
        <v>38</v>
      </c>
      <c r="C83" s="10" t="n">
        <v>8127</v>
      </c>
      <c r="D83" s="10" t="n">
        <v>665302.5</v>
      </c>
      <c r="E83" s="9" t="n">
        <v>15</v>
      </c>
      <c r="F83" s="9" t="n">
        <v>455</v>
      </c>
      <c r="G83" s="9" t="n">
        <v>384</v>
      </c>
      <c r="H83" s="9" t="n">
        <f aca="false">WEEKNUM(A83,21)</f>
        <v>18</v>
      </c>
      <c r="I83" s="8" t="n">
        <f aca="false">A83-WEEKDAY(A83,3)</f>
        <v>43948</v>
      </c>
      <c r="J83" s="10" t="n">
        <f aca="false">IFERROR(D83/E83,"")</f>
        <v>44353.5</v>
      </c>
      <c r="K83" s="11" t="n">
        <f aca="false">IFERROR(D83/F83,"")</f>
        <v>1462.2032967033</v>
      </c>
    </row>
    <row r="84" customFormat="false" ht="15" hidden="false" customHeight="false" outlineLevel="0" collapsed="false">
      <c r="A84" s="8" t="n">
        <v>43954</v>
      </c>
      <c r="B84" s="9" t="s">
        <v>35</v>
      </c>
      <c r="C84" s="10" t="n">
        <v>342666</v>
      </c>
      <c r="D84" s="10" t="n">
        <v>36631999.5</v>
      </c>
      <c r="E84" s="9" t="n">
        <v>125</v>
      </c>
      <c r="F84" s="9" t="n">
        <v>18861</v>
      </c>
      <c r="G84" s="9" t="n">
        <v>17420</v>
      </c>
      <c r="H84" s="9" t="n">
        <f aca="false">WEEKNUM(A84,21)</f>
        <v>18</v>
      </c>
      <c r="I84" s="8" t="n">
        <f aca="false">A84-WEEKDAY(A84,3)</f>
        <v>43948</v>
      </c>
      <c r="J84" s="10" t="n">
        <f aca="false">IFERROR(D84/E84,"")</f>
        <v>293055.996</v>
      </c>
      <c r="K84" s="11" t="n">
        <f aca="false">IFERROR(D84/F84,"")</f>
        <v>1942.20876411643</v>
      </c>
    </row>
    <row r="85" customFormat="false" ht="15" hidden="false" customHeight="false" outlineLevel="0" collapsed="false">
      <c r="A85" s="8" t="n">
        <v>43954</v>
      </c>
      <c r="B85" s="9" t="s">
        <v>36</v>
      </c>
      <c r="C85" s="10" t="n">
        <v>274083</v>
      </c>
      <c r="D85" s="10" t="n">
        <v>28427001</v>
      </c>
      <c r="E85" s="9" t="n">
        <v>129</v>
      </c>
      <c r="F85" s="9" t="n">
        <v>15778</v>
      </c>
      <c r="G85" s="9" t="n">
        <v>14624</v>
      </c>
      <c r="H85" s="9" t="n">
        <f aca="false">WEEKNUM(A85,21)</f>
        <v>18</v>
      </c>
      <c r="I85" s="8" t="n">
        <f aca="false">A85-WEEKDAY(A85,3)</f>
        <v>43948</v>
      </c>
      <c r="J85" s="10" t="n">
        <f aca="false">IFERROR(D85/E85,"")</f>
        <v>220364.348837209</v>
      </c>
      <c r="K85" s="11" t="n">
        <f aca="false">IFERROR(D85/F85,"")</f>
        <v>1801.68595512739</v>
      </c>
    </row>
    <row r="86" customFormat="false" ht="15" hidden="false" customHeight="false" outlineLevel="0" collapsed="false">
      <c r="A86" s="8" t="n">
        <v>43954</v>
      </c>
      <c r="B86" s="9" t="s">
        <v>37</v>
      </c>
      <c r="C86" s="10" t="n">
        <v>8185.5</v>
      </c>
      <c r="D86" s="10" t="n">
        <v>637881</v>
      </c>
      <c r="E86" s="9" t="n">
        <v>10</v>
      </c>
      <c r="F86" s="9" t="n">
        <v>402</v>
      </c>
      <c r="G86" s="9" t="n">
        <v>333</v>
      </c>
      <c r="H86" s="9" t="n">
        <f aca="false">WEEKNUM(A86,21)</f>
        <v>18</v>
      </c>
      <c r="I86" s="8" t="n">
        <f aca="false">A86-WEEKDAY(A86,3)</f>
        <v>43948</v>
      </c>
      <c r="J86" s="10" t="n">
        <f aca="false">IFERROR(D86/E86,"")</f>
        <v>63788.1</v>
      </c>
      <c r="K86" s="11" t="n">
        <f aca="false">IFERROR(D86/F86,"")</f>
        <v>1586.76865671642</v>
      </c>
    </row>
    <row r="87" customFormat="false" ht="15" hidden="false" customHeight="false" outlineLevel="0" collapsed="false">
      <c r="A87" s="8" t="n">
        <v>43955</v>
      </c>
      <c r="B87" s="9" t="s">
        <v>25</v>
      </c>
      <c r="C87" s="10" t="n">
        <v>64108.5</v>
      </c>
      <c r="D87" s="10" t="n">
        <v>5561452.5</v>
      </c>
      <c r="E87" s="9" t="n">
        <v>36</v>
      </c>
      <c r="F87" s="9" t="n">
        <v>4508</v>
      </c>
      <c r="G87" s="9" t="n">
        <v>4149</v>
      </c>
      <c r="H87" s="9" t="n">
        <f aca="false">WEEKNUM(A87,21)</f>
        <v>19</v>
      </c>
      <c r="I87" s="8" t="n">
        <f aca="false">A87-WEEKDAY(A87,3)</f>
        <v>43955</v>
      </c>
      <c r="J87" s="10" t="n">
        <f aca="false">IFERROR(D87/E87,"")</f>
        <v>154484.791666667</v>
      </c>
      <c r="K87" s="11" t="n">
        <f aca="false">IFERROR(D87/F87,"")</f>
        <v>1233.68511535049</v>
      </c>
    </row>
    <row r="88" customFormat="false" ht="15" hidden="false" customHeight="false" outlineLevel="0" collapsed="false">
      <c r="A88" s="8" t="n">
        <v>43955</v>
      </c>
      <c r="B88" s="9" t="s">
        <v>26</v>
      </c>
      <c r="C88" s="10" t="n">
        <v>72928.5</v>
      </c>
      <c r="D88" s="10" t="n">
        <v>6642249</v>
      </c>
      <c r="E88" s="9" t="n">
        <v>31</v>
      </c>
      <c r="F88" s="9" t="n">
        <v>4968</v>
      </c>
      <c r="G88" s="9" t="n">
        <v>4596</v>
      </c>
      <c r="H88" s="9" t="n">
        <f aca="false">WEEKNUM(A88,21)</f>
        <v>19</v>
      </c>
      <c r="I88" s="8" t="n">
        <f aca="false">A88-WEEKDAY(A88,3)</f>
        <v>43955</v>
      </c>
      <c r="J88" s="10" t="n">
        <f aca="false">IFERROR(D88/E88,"")</f>
        <v>214266.096774194</v>
      </c>
      <c r="K88" s="11" t="n">
        <f aca="false">IFERROR(D88/F88,"")</f>
        <v>1337.00664251208</v>
      </c>
    </row>
    <row r="89" customFormat="false" ht="15" hidden="false" customHeight="false" outlineLevel="0" collapsed="false">
      <c r="A89" s="8" t="n">
        <v>43955</v>
      </c>
      <c r="B89" s="9" t="s">
        <v>27</v>
      </c>
      <c r="C89" s="10" t="n">
        <v>30780</v>
      </c>
      <c r="D89" s="10" t="n">
        <v>2817853.5</v>
      </c>
      <c r="E89" s="9" t="n">
        <v>20</v>
      </c>
      <c r="F89" s="9" t="n">
        <v>1804</v>
      </c>
      <c r="G89" s="9" t="n">
        <v>1638</v>
      </c>
      <c r="H89" s="9" t="n">
        <f aca="false">WEEKNUM(A89,21)</f>
        <v>19</v>
      </c>
      <c r="I89" s="8" t="n">
        <f aca="false">A89-WEEKDAY(A89,3)</f>
        <v>43955</v>
      </c>
      <c r="J89" s="10" t="n">
        <f aca="false">IFERROR(D89/E89,"")</f>
        <v>140892.675</v>
      </c>
      <c r="K89" s="11" t="n">
        <f aca="false">IFERROR(D89/F89,"")</f>
        <v>1562.00304878049</v>
      </c>
    </row>
    <row r="90" customFormat="false" ht="15" hidden="false" customHeight="false" outlineLevel="0" collapsed="false">
      <c r="A90" s="8" t="n">
        <v>43955</v>
      </c>
      <c r="B90" s="9" t="s">
        <v>28</v>
      </c>
      <c r="C90" s="10" t="n">
        <v>25566</v>
      </c>
      <c r="D90" s="10" t="n">
        <v>2372310</v>
      </c>
      <c r="E90" s="9" t="n">
        <v>20</v>
      </c>
      <c r="F90" s="9" t="n">
        <v>1519</v>
      </c>
      <c r="G90" s="9" t="n">
        <v>1372</v>
      </c>
      <c r="H90" s="9" t="n">
        <f aca="false">WEEKNUM(A90,21)</f>
        <v>19</v>
      </c>
      <c r="I90" s="8" t="n">
        <f aca="false">A90-WEEKDAY(A90,3)</f>
        <v>43955</v>
      </c>
      <c r="J90" s="10" t="n">
        <f aca="false">IFERROR(D90/E90,"")</f>
        <v>118615.5</v>
      </c>
      <c r="K90" s="11" t="n">
        <f aca="false">IFERROR(D90/F90,"")</f>
        <v>1561.75773535221</v>
      </c>
    </row>
    <row r="91" customFormat="false" ht="15" hidden="false" customHeight="false" outlineLevel="0" collapsed="false">
      <c r="A91" s="8" t="n">
        <v>43955</v>
      </c>
      <c r="B91" s="9" t="s">
        <v>29</v>
      </c>
      <c r="C91" s="10" t="n">
        <v>23587.5</v>
      </c>
      <c r="D91" s="10" t="n">
        <v>2155668</v>
      </c>
      <c r="E91" s="9" t="n">
        <v>19</v>
      </c>
      <c r="F91" s="9" t="n">
        <v>1479</v>
      </c>
      <c r="G91" s="9" t="n">
        <v>1346</v>
      </c>
      <c r="H91" s="9" t="n">
        <f aca="false">WEEKNUM(A91,21)</f>
        <v>19</v>
      </c>
      <c r="I91" s="8" t="n">
        <f aca="false">A91-WEEKDAY(A91,3)</f>
        <v>43955</v>
      </c>
      <c r="J91" s="10" t="n">
        <f aca="false">IFERROR(D91/E91,"")</f>
        <v>113456.210526316</v>
      </c>
      <c r="K91" s="11" t="n">
        <f aca="false">IFERROR(D91/F91,"")</f>
        <v>1457.51724137931</v>
      </c>
    </row>
    <row r="92" customFormat="false" ht="15" hidden="false" customHeight="false" outlineLevel="0" collapsed="false">
      <c r="A92" s="8" t="n">
        <v>43955</v>
      </c>
      <c r="B92" s="9" t="s">
        <v>30</v>
      </c>
      <c r="C92" s="10" t="n">
        <v>223617</v>
      </c>
      <c r="D92" s="10" t="n">
        <v>22796827.5</v>
      </c>
      <c r="E92" s="9" t="n">
        <v>54</v>
      </c>
      <c r="F92" s="9" t="n">
        <v>13606</v>
      </c>
      <c r="G92" s="9" t="n">
        <v>12697</v>
      </c>
      <c r="H92" s="9" t="n">
        <f aca="false">WEEKNUM(A92,21)</f>
        <v>19</v>
      </c>
      <c r="I92" s="8" t="n">
        <f aca="false">A92-WEEKDAY(A92,3)</f>
        <v>43955</v>
      </c>
      <c r="J92" s="10" t="n">
        <f aca="false">IFERROR(D92/E92,"")</f>
        <v>422163.472222222</v>
      </c>
      <c r="K92" s="11" t="n">
        <f aca="false">IFERROR(D92/F92,"")</f>
        <v>1675.49812582684</v>
      </c>
    </row>
    <row r="93" customFormat="false" ht="15" hidden="false" customHeight="false" outlineLevel="0" collapsed="false">
      <c r="A93" s="8" t="n">
        <v>43955</v>
      </c>
      <c r="B93" s="9" t="s">
        <v>31</v>
      </c>
      <c r="C93" s="10" t="n">
        <v>237544.5</v>
      </c>
      <c r="D93" s="10" t="n">
        <v>24292218</v>
      </c>
      <c r="E93" s="9" t="n">
        <v>59</v>
      </c>
      <c r="F93" s="9" t="n">
        <v>14423</v>
      </c>
      <c r="G93" s="9" t="n">
        <v>13432</v>
      </c>
      <c r="H93" s="9" t="n">
        <f aca="false">WEEKNUM(A93,21)</f>
        <v>19</v>
      </c>
      <c r="I93" s="8" t="n">
        <f aca="false">A93-WEEKDAY(A93,3)</f>
        <v>43955</v>
      </c>
      <c r="J93" s="10" t="n">
        <f aca="false">IFERROR(D93/E93,"")</f>
        <v>411732.508474576</v>
      </c>
      <c r="K93" s="11" t="n">
        <f aca="false">IFERROR(D93/F93,"")</f>
        <v>1684.2694307703</v>
      </c>
    </row>
    <row r="94" customFormat="false" ht="15" hidden="false" customHeight="false" outlineLevel="0" collapsed="false">
      <c r="A94" s="8" t="n">
        <v>43955</v>
      </c>
      <c r="B94" s="9" t="s">
        <v>32</v>
      </c>
      <c r="C94" s="10" t="n">
        <v>27072</v>
      </c>
      <c r="D94" s="10" t="n">
        <v>2450968.5</v>
      </c>
      <c r="E94" s="9" t="n">
        <v>19</v>
      </c>
      <c r="F94" s="9" t="n">
        <v>1582</v>
      </c>
      <c r="G94" s="9" t="n">
        <v>1403</v>
      </c>
      <c r="H94" s="9" t="n">
        <f aca="false">WEEKNUM(A94,21)</f>
        <v>19</v>
      </c>
      <c r="I94" s="8" t="n">
        <f aca="false">A94-WEEKDAY(A94,3)</f>
        <v>43955</v>
      </c>
      <c r="J94" s="10" t="n">
        <f aca="false">IFERROR(D94/E94,"")</f>
        <v>128998.342105263</v>
      </c>
      <c r="K94" s="11" t="n">
        <f aca="false">IFERROR(D94/F94,"")</f>
        <v>1549.28476611884</v>
      </c>
    </row>
    <row r="95" customFormat="false" ht="15" hidden="false" customHeight="false" outlineLevel="0" collapsed="false">
      <c r="A95" s="8" t="n">
        <v>43955</v>
      </c>
      <c r="B95" s="9" t="s">
        <v>33</v>
      </c>
      <c r="C95" s="10" t="n">
        <v>11062.5</v>
      </c>
      <c r="D95" s="10" t="n">
        <v>906343.5</v>
      </c>
      <c r="E95" s="9" t="n">
        <v>15</v>
      </c>
      <c r="F95" s="9" t="n">
        <v>622</v>
      </c>
      <c r="G95" s="9" t="n">
        <v>538</v>
      </c>
      <c r="H95" s="9" t="n">
        <f aca="false">WEEKNUM(A95,21)</f>
        <v>19</v>
      </c>
      <c r="I95" s="8" t="n">
        <f aca="false">A95-WEEKDAY(A95,3)</f>
        <v>43955</v>
      </c>
      <c r="J95" s="10" t="n">
        <f aca="false">IFERROR(D95/E95,"")</f>
        <v>60422.9</v>
      </c>
      <c r="K95" s="11" t="n">
        <f aca="false">IFERROR(D95/F95,"")</f>
        <v>1457.14389067524</v>
      </c>
    </row>
    <row r="96" customFormat="false" ht="15" hidden="false" customHeight="false" outlineLevel="0" collapsed="false">
      <c r="A96" s="8" t="n">
        <v>43955</v>
      </c>
      <c r="B96" s="9" t="s">
        <v>34</v>
      </c>
      <c r="C96" s="10" t="n">
        <v>12301.5</v>
      </c>
      <c r="D96" s="10" t="n">
        <v>1085211</v>
      </c>
      <c r="E96" s="9" t="n">
        <v>15</v>
      </c>
      <c r="F96" s="9" t="n">
        <v>750</v>
      </c>
      <c r="G96" s="9" t="n">
        <v>647</v>
      </c>
      <c r="H96" s="9" t="n">
        <f aca="false">WEEKNUM(A96,21)</f>
        <v>19</v>
      </c>
      <c r="I96" s="8" t="n">
        <f aca="false">A96-WEEKDAY(A96,3)</f>
        <v>43955</v>
      </c>
      <c r="J96" s="10" t="n">
        <f aca="false">IFERROR(D96/E96,"")</f>
        <v>72347.4</v>
      </c>
      <c r="K96" s="11" t="n">
        <f aca="false">IFERROR(D96/F96,"")</f>
        <v>1446.948</v>
      </c>
    </row>
    <row r="97" customFormat="false" ht="15" hidden="false" customHeight="false" outlineLevel="0" collapsed="false">
      <c r="A97" s="8" t="n">
        <v>43955</v>
      </c>
      <c r="B97" s="9" t="s">
        <v>38</v>
      </c>
      <c r="C97" s="10" t="n">
        <v>7087.5</v>
      </c>
      <c r="D97" s="10" t="n">
        <v>610855.5</v>
      </c>
      <c r="E97" s="9" t="n">
        <v>15</v>
      </c>
      <c r="F97" s="9" t="n">
        <v>390</v>
      </c>
      <c r="G97" s="9" t="n">
        <v>315</v>
      </c>
      <c r="H97" s="9" t="n">
        <f aca="false">WEEKNUM(A97,21)</f>
        <v>19</v>
      </c>
      <c r="I97" s="8" t="n">
        <f aca="false">A97-WEEKDAY(A97,3)</f>
        <v>43955</v>
      </c>
      <c r="J97" s="10" t="n">
        <f aca="false">IFERROR(D97/E97,"")</f>
        <v>40723.7</v>
      </c>
      <c r="K97" s="11" t="n">
        <f aca="false">IFERROR(D97/F97,"")</f>
        <v>1566.29615384615</v>
      </c>
    </row>
    <row r="98" customFormat="false" ht="15" hidden="false" customHeight="false" outlineLevel="0" collapsed="false">
      <c r="A98" s="8" t="n">
        <v>43955</v>
      </c>
      <c r="B98" s="9" t="s">
        <v>35</v>
      </c>
      <c r="C98" s="10" t="n">
        <v>360255</v>
      </c>
      <c r="D98" s="10" t="n">
        <v>38406954</v>
      </c>
      <c r="E98" s="9" t="n">
        <v>125</v>
      </c>
      <c r="F98" s="9" t="n">
        <v>20495</v>
      </c>
      <c r="G98" s="9" t="n">
        <v>18964</v>
      </c>
      <c r="H98" s="9" t="n">
        <f aca="false">WEEKNUM(A98,21)</f>
        <v>19</v>
      </c>
      <c r="I98" s="8" t="n">
        <f aca="false">A98-WEEKDAY(A98,3)</f>
        <v>43955</v>
      </c>
      <c r="J98" s="10" t="n">
        <f aca="false">IFERROR(D98/E98,"")</f>
        <v>307255.632</v>
      </c>
      <c r="K98" s="11" t="n">
        <f aca="false">IFERROR(D98/F98,"")</f>
        <v>1873.96701634545</v>
      </c>
    </row>
    <row r="99" customFormat="false" ht="15" hidden="false" customHeight="false" outlineLevel="0" collapsed="false">
      <c r="A99" s="8" t="n">
        <v>43955</v>
      </c>
      <c r="B99" s="9" t="s">
        <v>36</v>
      </c>
      <c r="C99" s="10" t="n">
        <v>283942.5</v>
      </c>
      <c r="D99" s="10" t="n">
        <v>29357940</v>
      </c>
      <c r="E99" s="9" t="n">
        <v>129</v>
      </c>
      <c r="F99" s="9" t="n">
        <v>16525</v>
      </c>
      <c r="G99" s="9" t="n">
        <v>15310</v>
      </c>
      <c r="H99" s="9" t="n">
        <f aca="false">WEEKNUM(A99,21)</f>
        <v>19</v>
      </c>
      <c r="I99" s="8" t="n">
        <f aca="false">A99-WEEKDAY(A99,3)</f>
        <v>43955</v>
      </c>
      <c r="J99" s="10" t="n">
        <f aca="false">IFERROR(D99/E99,"")</f>
        <v>227580.930232558</v>
      </c>
      <c r="K99" s="11" t="n">
        <f aca="false">IFERROR(D99/F99,"")</f>
        <v>1776.57730711044</v>
      </c>
    </row>
    <row r="100" customFormat="false" ht="15" hidden="false" customHeight="false" outlineLevel="0" collapsed="false">
      <c r="A100" s="8" t="n">
        <v>43955</v>
      </c>
      <c r="B100" s="9" t="s">
        <v>37</v>
      </c>
      <c r="C100" s="10" t="n">
        <v>9130.5</v>
      </c>
      <c r="D100" s="10" t="n">
        <v>728890.5</v>
      </c>
      <c r="E100" s="9" t="n">
        <v>10</v>
      </c>
      <c r="F100" s="9" t="n">
        <v>462</v>
      </c>
      <c r="G100" s="9" t="n">
        <v>396</v>
      </c>
      <c r="H100" s="9" t="n">
        <f aca="false">WEEKNUM(A100,21)</f>
        <v>19</v>
      </c>
      <c r="I100" s="8" t="n">
        <f aca="false">A100-WEEKDAY(A100,3)</f>
        <v>43955</v>
      </c>
      <c r="J100" s="10" t="n">
        <f aca="false">IFERROR(D100/E100,"")</f>
        <v>72889.05</v>
      </c>
      <c r="K100" s="11" t="n">
        <f aca="false">IFERROR(D100/F100,"")</f>
        <v>1577.68506493507</v>
      </c>
    </row>
    <row r="101" customFormat="false" ht="15" hidden="false" customHeight="false" outlineLevel="0" collapsed="false">
      <c r="A101" s="8" t="n">
        <v>43956</v>
      </c>
      <c r="B101" s="9" t="s">
        <v>25</v>
      </c>
      <c r="C101" s="10" t="n">
        <v>66396</v>
      </c>
      <c r="D101" s="10" t="n">
        <v>5770539</v>
      </c>
      <c r="E101" s="9" t="n">
        <v>36</v>
      </c>
      <c r="F101" s="9" t="n">
        <v>4575</v>
      </c>
      <c r="G101" s="9" t="n">
        <v>4206</v>
      </c>
      <c r="H101" s="9" t="n">
        <f aca="false">WEEKNUM(A101,21)</f>
        <v>19</v>
      </c>
      <c r="I101" s="8" t="n">
        <f aca="false">A101-WEEKDAY(A101,3)</f>
        <v>43955</v>
      </c>
      <c r="J101" s="10" t="n">
        <f aca="false">IFERROR(D101/E101,"")</f>
        <v>160292.75</v>
      </c>
      <c r="K101" s="11" t="n">
        <f aca="false">IFERROR(D101/F101,"")</f>
        <v>1261.32</v>
      </c>
    </row>
    <row r="102" customFormat="false" ht="15" hidden="false" customHeight="false" outlineLevel="0" collapsed="false">
      <c r="A102" s="8" t="n">
        <v>43956</v>
      </c>
      <c r="B102" s="9" t="s">
        <v>26</v>
      </c>
      <c r="C102" s="10" t="n">
        <v>76585.5</v>
      </c>
      <c r="D102" s="10" t="n">
        <v>6921316.5</v>
      </c>
      <c r="E102" s="9" t="n">
        <v>31</v>
      </c>
      <c r="F102" s="9" t="n">
        <v>5188</v>
      </c>
      <c r="G102" s="9" t="n">
        <v>4800</v>
      </c>
      <c r="H102" s="9" t="n">
        <f aca="false">WEEKNUM(A102,21)</f>
        <v>19</v>
      </c>
      <c r="I102" s="8" t="n">
        <f aca="false">A102-WEEKDAY(A102,3)</f>
        <v>43955</v>
      </c>
      <c r="J102" s="10" t="n">
        <f aca="false">IFERROR(D102/E102,"")</f>
        <v>223268.274193548</v>
      </c>
      <c r="K102" s="11" t="n">
        <f aca="false">IFERROR(D102/F102,"")</f>
        <v>1334.10109868928</v>
      </c>
    </row>
    <row r="103" customFormat="false" ht="15" hidden="false" customHeight="false" outlineLevel="0" collapsed="false">
      <c r="A103" s="8" t="n">
        <v>43956</v>
      </c>
      <c r="B103" s="9" t="s">
        <v>27</v>
      </c>
      <c r="C103" s="10" t="n">
        <v>29482.5</v>
      </c>
      <c r="D103" s="10" t="n">
        <v>2648688</v>
      </c>
      <c r="E103" s="9" t="n">
        <v>20</v>
      </c>
      <c r="F103" s="9" t="n">
        <v>1757</v>
      </c>
      <c r="G103" s="9" t="n">
        <v>1596</v>
      </c>
      <c r="H103" s="9" t="n">
        <f aca="false">WEEKNUM(A103,21)</f>
        <v>19</v>
      </c>
      <c r="I103" s="8" t="n">
        <f aca="false">A103-WEEKDAY(A103,3)</f>
        <v>43955</v>
      </c>
      <c r="J103" s="10" t="n">
        <f aca="false">IFERROR(D103/E103,"")</f>
        <v>132434.4</v>
      </c>
      <c r="K103" s="11" t="n">
        <f aca="false">IFERROR(D103/F103,"")</f>
        <v>1507.50597609562</v>
      </c>
    </row>
    <row r="104" customFormat="false" ht="15" hidden="false" customHeight="false" outlineLevel="0" collapsed="false">
      <c r="A104" s="8" t="n">
        <v>43956</v>
      </c>
      <c r="B104" s="9" t="s">
        <v>28</v>
      </c>
      <c r="C104" s="10" t="n">
        <v>31566</v>
      </c>
      <c r="D104" s="10" t="n">
        <v>2906763</v>
      </c>
      <c r="E104" s="9" t="n">
        <v>20</v>
      </c>
      <c r="F104" s="9" t="n">
        <v>1773</v>
      </c>
      <c r="G104" s="9" t="n">
        <v>1604</v>
      </c>
      <c r="H104" s="9" t="n">
        <f aca="false">WEEKNUM(A104,21)</f>
        <v>19</v>
      </c>
      <c r="I104" s="8" t="n">
        <f aca="false">A104-WEEKDAY(A104,3)</f>
        <v>43955</v>
      </c>
      <c r="J104" s="10" t="n">
        <f aca="false">IFERROR(D104/E104,"")</f>
        <v>145338.15</v>
      </c>
      <c r="K104" s="11" t="n">
        <f aca="false">IFERROR(D104/F104,"")</f>
        <v>1639.46023688663</v>
      </c>
    </row>
    <row r="105" customFormat="false" ht="15" hidden="false" customHeight="false" outlineLevel="0" collapsed="false">
      <c r="A105" s="8" t="n">
        <v>43956</v>
      </c>
      <c r="B105" s="9" t="s">
        <v>29</v>
      </c>
      <c r="C105" s="10" t="n">
        <v>26367</v>
      </c>
      <c r="D105" s="10" t="n">
        <v>2380333.5</v>
      </c>
      <c r="E105" s="9" t="n">
        <v>19</v>
      </c>
      <c r="F105" s="9" t="n">
        <v>1622</v>
      </c>
      <c r="G105" s="9" t="n">
        <v>1482</v>
      </c>
      <c r="H105" s="9" t="n">
        <f aca="false">WEEKNUM(A105,21)</f>
        <v>19</v>
      </c>
      <c r="I105" s="8" t="n">
        <f aca="false">A105-WEEKDAY(A105,3)</f>
        <v>43955</v>
      </c>
      <c r="J105" s="10" t="n">
        <f aca="false">IFERROR(D105/E105,"")</f>
        <v>125280.710526316</v>
      </c>
      <c r="K105" s="11" t="n">
        <f aca="false">IFERROR(D105/F105,"")</f>
        <v>1467.52990135635</v>
      </c>
    </row>
    <row r="106" customFormat="false" ht="15" hidden="false" customHeight="false" outlineLevel="0" collapsed="false">
      <c r="A106" s="8" t="n">
        <v>43956</v>
      </c>
      <c r="B106" s="9" t="s">
        <v>30</v>
      </c>
      <c r="C106" s="10" t="n">
        <v>203832</v>
      </c>
      <c r="D106" s="10" t="n">
        <v>20880142.5</v>
      </c>
      <c r="E106" s="9" t="n">
        <v>54</v>
      </c>
      <c r="F106" s="9" t="n">
        <v>12775</v>
      </c>
      <c r="G106" s="9" t="n">
        <v>11887</v>
      </c>
      <c r="H106" s="9" t="n">
        <f aca="false">WEEKNUM(A106,21)</f>
        <v>19</v>
      </c>
      <c r="I106" s="8" t="n">
        <f aca="false">A106-WEEKDAY(A106,3)</f>
        <v>43955</v>
      </c>
      <c r="J106" s="10" t="n">
        <f aca="false">IFERROR(D106/E106,"")</f>
        <v>386669.305555556</v>
      </c>
      <c r="K106" s="11" t="n">
        <f aca="false">IFERROR(D106/F106,"")</f>
        <v>1634.45342465753</v>
      </c>
    </row>
    <row r="107" customFormat="false" ht="15" hidden="false" customHeight="false" outlineLevel="0" collapsed="false">
      <c r="A107" s="8" t="n">
        <v>43956</v>
      </c>
      <c r="B107" s="9" t="s">
        <v>31</v>
      </c>
      <c r="C107" s="10" t="n">
        <v>213582</v>
      </c>
      <c r="D107" s="10" t="n">
        <v>21919435.5</v>
      </c>
      <c r="E107" s="9" t="n">
        <v>59</v>
      </c>
      <c r="F107" s="9" t="n">
        <v>13469</v>
      </c>
      <c r="G107" s="9" t="n">
        <v>12486</v>
      </c>
      <c r="H107" s="9" t="n">
        <f aca="false">WEEKNUM(A107,21)</f>
        <v>19</v>
      </c>
      <c r="I107" s="8" t="n">
        <f aca="false">A107-WEEKDAY(A107,3)</f>
        <v>43955</v>
      </c>
      <c r="J107" s="10" t="n">
        <f aca="false">IFERROR(D107/E107,"")</f>
        <v>371515.855932203</v>
      </c>
      <c r="K107" s="11" t="n">
        <f aca="false">IFERROR(D107/F107,"")</f>
        <v>1627.39887890712</v>
      </c>
    </row>
    <row r="108" customFormat="false" ht="15" hidden="false" customHeight="false" outlineLevel="0" collapsed="false">
      <c r="A108" s="8" t="n">
        <v>43956</v>
      </c>
      <c r="B108" s="9" t="s">
        <v>32</v>
      </c>
      <c r="C108" s="10" t="n">
        <v>22848</v>
      </c>
      <c r="D108" s="10" t="n">
        <v>2079900</v>
      </c>
      <c r="E108" s="9" t="n">
        <v>19</v>
      </c>
      <c r="F108" s="9" t="n">
        <v>1417</v>
      </c>
      <c r="G108" s="9" t="n">
        <v>1245</v>
      </c>
      <c r="H108" s="9" t="n">
        <f aca="false">WEEKNUM(A108,21)</f>
        <v>19</v>
      </c>
      <c r="I108" s="8" t="n">
        <f aca="false">A108-WEEKDAY(A108,3)</f>
        <v>43955</v>
      </c>
      <c r="J108" s="10" t="n">
        <f aca="false">IFERROR(D108/E108,"")</f>
        <v>109468.421052632</v>
      </c>
      <c r="K108" s="11" t="n">
        <f aca="false">IFERROR(D108/F108,"")</f>
        <v>1467.81933662668</v>
      </c>
    </row>
    <row r="109" customFormat="false" ht="15" hidden="false" customHeight="false" outlineLevel="0" collapsed="false">
      <c r="A109" s="8" t="n">
        <v>43956</v>
      </c>
      <c r="B109" s="9" t="s">
        <v>33</v>
      </c>
      <c r="C109" s="10" t="n">
        <v>13941</v>
      </c>
      <c r="D109" s="10" t="n">
        <v>1145575.5</v>
      </c>
      <c r="E109" s="9" t="n">
        <v>15</v>
      </c>
      <c r="F109" s="9" t="n">
        <v>750</v>
      </c>
      <c r="G109" s="9" t="n">
        <v>658</v>
      </c>
      <c r="H109" s="9" t="n">
        <f aca="false">WEEKNUM(A109,21)</f>
        <v>19</v>
      </c>
      <c r="I109" s="8" t="n">
        <f aca="false">A109-WEEKDAY(A109,3)</f>
        <v>43955</v>
      </c>
      <c r="J109" s="10" t="n">
        <f aca="false">IFERROR(D109/E109,"")</f>
        <v>76371.7</v>
      </c>
      <c r="K109" s="11" t="n">
        <f aca="false">IFERROR(D109/F109,"")</f>
        <v>1527.434</v>
      </c>
    </row>
    <row r="110" customFormat="false" ht="15" hidden="false" customHeight="false" outlineLevel="0" collapsed="false">
      <c r="A110" s="8" t="n">
        <v>43956</v>
      </c>
      <c r="B110" s="9" t="s">
        <v>34</v>
      </c>
      <c r="C110" s="10" t="n">
        <v>15987</v>
      </c>
      <c r="D110" s="10" t="n">
        <v>1384179</v>
      </c>
      <c r="E110" s="9" t="n">
        <v>15</v>
      </c>
      <c r="F110" s="9" t="n">
        <v>922</v>
      </c>
      <c r="G110" s="9" t="n">
        <v>823</v>
      </c>
      <c r="H110" s="9" t="n">
        <f aca="false">WEEKNUM(A110,21)</f>
        <v>19</v>
      </c>
      <c r="I110" s="8" t="n">
        <f aca="false">A110-WEEKDAY(A110,3)</f>
        <v>43955</v>
      </c>
      <c r="J110" s="10" t="n">
        <f aca="false">IFERROR(D110/E110,"")</f>
        <v>92278.6</v>
      </c>
      <c r="K110" s="11" t="n">
        <f aca="false">IFERROR(D110/F110,"")</f>
        <v>1501.27874186551</v>
      </c>
    </row>
    <row r="111" customFormat="false" ht="15" hidden="false" customHeight="false" outlineLevel="0" collapsed="false">
      <c r="A111" s="8" t="n">
        <v>43956</v>
      </c>
      <c r="B111" s="9" t="s">
        <v>38</v>
      </c>
      <c r="C111" s="10" t="n">
        <v>8223</v>
      </c>
      <c r="D111" s="10" t="n">
        <v>694593</v>
      </c>
      <c r="E111" s="9" t="n">
        <v>15</v>
      </c>
      <c r="F111" s="9" t="n">
        <v>455</v>
      </c>
      <c r="G111" s="9" t="n">
        <v>381</v>
      </c>
      <c r="H111" s="9" t="n">
        <f aca="false">WEEKNUM(A111,21)</f>
        <v>19</v>
      </c>
      <c r="I111" s="8" t="n">
        <f aca="false">A111-WEEKDAY(A111,3)</f>
        <v>43955</v>
      </c>
      <c r="J111" s="10" t="n">
        <f aca="false">IFERROR(D111/E111,"")</f>
        <v>46306.2</v>
      </c>
      <c r="K111" s="11" t="n">
        <f aca="false">IFERROR(D111/F111,"")</f>
        <v>1526.57802197802</v>
      </c>
    </row>
    <row r="112" customFormat="false" ht="15" hidden="false" customHeight="false" outlineLevel="0" collapsed="false">
      <c r="A112" s="8" t="n">
        <v>43956</v>
      </c>
      <c r="B112" s="9" t="s">
        <v>35</v>
      </c>
      <c r="C112" s="10" t="n">
        <v>333792</v>
      </c>
      <c r="D112" s="10" t="n">
        <v>35671734</v>
      </c>
      <c r="E112" s="9" t="n">
        <v>125</v>
      </c>
      <c r="F112" s="9" t="n">
        <v>18944</v>
      </c>
      <c r="G112" s="9" t="n">
        <v>17541</v>
      </c>
      <c r="H112" s="9" t="n">
        <f aca="false">WEEKNUM(A112,21)</f>
        <v>19</v>
      </c>
      <c r="I112" s="8" t="n">
        <f aca="false">A112-WEEKDAY(A112,3)</f>
        <v>43955</v>
      </c>
      <c r="J112" s="10" t="n">
        <f aca="false">IFERROR(D112/E112,"")</f>
        <v>285373.872</v>
      </c>
      <c r="K112" s="11" t="n">
        <f aca="false">IFERROR(D112/F112,"")</f>
        <v>1883.00960726351</v>
      </c>
    </row>
    <row r="113" customFormat="false" ht="15" hidden="false" customHeight="false" outlineLevel="0" collapsed="false">
      <c r="A113" s="8" t="n">
        <v>43956</v>
      </c>
      <c r="B113" s="9" t="s">
        <v>36</v>
      </c>
      <c r="C113" s="10" t="n">
        <v>262734</v>
      </c>
      <c r="D113" s="10" t="n">
        <v>27278441.145</v>
      </c>
      <c r="E113" s="9" t="n">
        <v>129</v>
      </c>
      <c r="F113" s="9" t="n">
        <v>15665</v>
      </c>
      <c r="G113" s="9" t="n">
        <v>14501</v>
      </c>
      <c r="H113" s="9" t="n">
        <f aca="false">WEEKNUM(A113,21)</f>
        <v>19</v>
      </c>
      <c r="I113" s="8" t="n">
        <f aca="false">A113-WEEKDAY(A113,3)</f>
        <v>43955</v>
      </c>
      <c r="J113" s="10" t="n">
        <f aca="false">IFERROR(D113/E113,"")</f>
        <v>211460.784069767</v>
      </c>
      <c r="K113" s="11" t="n">
        <f aca="false">IFERROR(D113/F113,"")</f>
        <v>1741.36234567507</v>
      </c>
    </row>
    <row r="114" customFormat="false" ht="15" hidden="false" customHeight="false" outlineLevel="0" collapsed="false">
      <c r="A114" s="8" t="n">
        <v>43956</v>
      </c>
      <c r="B114" s="9" t="s">
        <v>37</v>
      </c>
      <c r="C114" s="10" t="n">
        <v>10147.5</v>
      </c>
      <c r="D114" s="10" t="n">
        <v>793320</v>
      </c>
      <c r="E114" s="9" t="n">
        <v>10</v>
      </c>
      <c r="F114" s="9" t="n">
        <v>511</v>
      </c>
      <c r="G114" s="9" t="n">
        <v>437</v>
      </c>
      <c r="H114" s="9" t="n">
        <f aca="false">WEEKNUM(A114,21)</f>
        <v>19</v>
      </c>
      <c r="I114" s="8" t="n">
        <f aca="false">A114-WEEKDAY(A114,3)</f>
        <v>43955</v>
      </c>
      <c r="J114" s="10" t="n">
        <f aca="false">IFERROR(D114/E114,"")</f>
        <v>79332</v>
      </c>
      <c r="K114" s="11" t="n">
        <f aca="false">IFERROR(D114/F114,"")</f>
        <v>1552.48532289628</v>
      </c>
    </row>
    <row r="115" customFormat="false" ht="15" hidden="false" customHeight="false" outlineLevel="0" collapsed="false">
      <c r="A115" s="8" t="n">
        <v>43957</v>
      </c>
      <c r="B115" s="9" t="s">
        <v>25</v>
      </c>
      <c r="C115" s="10" t="n">
        <v>63012</v>
      </c>
      <c r="D115" s="10" t="n">
        <v>5454121.5</v>
      </c>
      <c r="E115" s="9" t="n">
        <v>36</v>
      </c>
      <c r="F115" s="9" t="n">
        <v>4384</v>
      </c>
      <c r="G115" s="9" t="n">
        <v>4025</v>
      </c>
      <c r="H115" s="9" t="n">
        <f aca="false">WEEKNUM(A115,21)</f>
        <v>19</v>
      </c>
      <c r="I115" s="8" t="n">
        <f aca="false">A115-WEEKDAY(A115,3)</f>
        <v>43955</v>
      </c>
      <c r="J115" s="10" t="n">
        <f aca="false">IFERROR(D115/E115,"")</f>
        <v>151503.375</v>
      </c>
      <c r="K115" s="11" t="n">
        <f aca="false">IFERROR(D115/F115,"")</f>
        <v>1244.09705748175</v>
      </c>
    </row>
    <row r="116" customFormat="false" ht="15" hidden="false" customHeight="false" outlineLevel="0" collapsed="false">
      <c r="A116" s="8" t="n">
        <v>43957</v>
      </c>
      <c r="B116" s="9" t="s">
        <v>26</v>
      </c>
      <c r="C116" s="10" t="n">
        <v>68994</v>
      </c>
      <c r="D116" s="10" t="n">
        <v>6168657</v>
      </c>
      <c r="E116" s="9" t="n">
        <v>31</v>
      </c>
      <c r="F116" s="9" t="n">
        <v>4709</v>
      </c>
      <c r="G116" s="9" t="n">
        <v>4348</v>
      </c>
      <c r="H116" s="9" t="n">
        <f aca="false">WEEKNUM(A116,21)</f>
        <v>19</v>
      </c>
      <c r="I116" s="8" t="n">
        <f aca="false">A116-WEEKDAY(A116,3)</f>
        <v>43955</v>
      </c>
      <c r="J116" s="10" t="n">
        <f aca="false">IFERROR(D116/E116,"")</f>
        <v>198988.935483871</v>
      </c>
      <c r="K116" s="11" t="n">
        <f aca="false">IFERROR(D116/F116,"")</f>
        <v>1309.97175621151</v>
      </c>
    </row>
    <row r="117" customFormat="false" ht="15" hidden="false" customHeight="false" outlineLevel="0" collapsed="false">
      <c r="A117" s="8" t="n">
        <v>43957</v>
      </c>
      <c r="B117" s="9" t="s">
        <v>27</v>
      </c>
      <c r="C117" s="10" t="n">
        <v>30342</v>
      </c>
      <c r="D117" s="10" t="n">
        <v>2738127</v>
      </c>
      <c r="E117" s="9" t="n">
        <v>20</v>
      </c>
      <c r="F117" s="9" t="n">
        <v>1747</v>
      </c>
      <c r="G117" s="9" t="n">
        <v>1570</v>
      </c>
      <c r="H117" s="9" t="n">
        <f aca="false">WEEKNUM(A117,21)</f>
        <v>19</v>
      </c>
      <c r="I117" s="8" t="n">
        <f aca="false">A117-WEEKDAY(A117,3)</f>
        <v>43955</v>
      </c>
      <c r="J117" s="10" t="n">
        <f aca="false">IFERROR(D117/E117,"")</f>
        <v>136906.35</v>
      </c>
      <c r="K117" s="11" t="n">
        <f aca="false">IFERROR(D117/F117,"")</f>
        <v>1567.33085289067</v>
      </c>
    </row>
    <row r="118" customFormat="false" ht="15" hidden="false" customHeight="false" outlineLevel="0" collapsed="false">
      <c r="A118" s="8" t="n">
        <v>43957</v>
      </c>
      <c r="B118" s="9" t="s">
        <v>28</v>
      </c>
      <c r="C118" s="10" t="n">
        <v>32511</v>
      </c>
      <c r="D118" s="10" t="n">
        <v>2938623</v>
      </c>
      <c r="E118" s="9" t="n">
        <v>20</v>
      </c>
      <c r="F118" s="9" t="n">
        <v>1784</v>
      </c>
      <c r="G118" s="9" t="n">
        <v>1632</v>
      </c>
      <c r="H118" s="9" t="n">
        <f aca="false">WEEKNUM(A118,21)</f>
        <v>19</v>
      </c>
      <c r="I118" s="8" t="n">
        <f aca="false">A118-WEEKDAY(A118,3)</f>
        <v>43955</v>
      </c>
      <c r="J118" s="10" t="n">
        <f aca="false">IFERROR(D118/E118,"")</f>
        <v>146931.15</v>
      </c>
      <c r="K118" s="11" t="n">
        <f aca="false">IFERROR(D118/F118,"")</f>
        <v>1647.21020179372</v>
      </c>
    </row>
    <row r="119" customFormat="false" ht="15" hidden="false" customHeight="false" outlineLevel="0" collapsed="false">
      <c r="A119" s="8" t="n">
        <v>43957</v>
      </c>
      <c r="B119" s="9" t="s">
        <v>29</v>
      </c>
      <c r="C119" s="10" t="n">
        <v>24337.5</v>
      </c>
      <c r="D119" s="10" t="n">
        <v>2159350.5</v>
      </c>
      <c r="E119" s="9" t="n">
        <v>19</v>
      </c>
      <c r="F119" s="9" t="n">
        <v>1509</v>
      </c>
      <c r="G119" s="9" t="n">
        <v>1374</v>
      </c>
      <c r="H119" s="9" t="n">
        <f aca="false">WEEKNUM(A119,21)</f>
        <v>19</v>
      </c>
      <c r="I119" s="8" t="n">
        <f aca="false">A119-WEEKDAY(A119,3)</f>
        <v>43955</v>
      </c>
      <c r="J119" s="10" t="n">
        <f aca="false">IFERROR(D119/E119,"")</f>
        <v>113650.026315789</v>
      </c>
      <c r="K119" s="11" t="n">
        <f aca="false">IFERROR(D119/F119,"")</f>
        <v>1430.98111332008</v>
      </c>
    </row>
    <row r="120" customFormat="false" ht="15" hidden="false" customHeight="false" outlineLevel="0" collapsed="false">
      <c r="A120" s="8" t="n">
        <v>43957</v>
      </c>
      <c r="B120" s="9" t="s">
        <v>30</v>
      </c>
      <c r="C120" s="10" t="n">
        <v>216498</v>
      </c>
      <c r="D120" s="10" t="n">
        <v>22126444.5</v>
      </c>
      <c r="E120" s="9" t="n">
        <v>54</v>
      </c>
      <c r="F120" s="9" t="n">
        <v>13406</v>
      </c>
      <c r="G120" s="9" t="n">
        <v>12518</v>
      </c>
      <c r="H120" s="9" t="n">
        <f aca="false">WEEKNUM(A120,21)</f>
        <v>19</v>
      </c>
      <c r="I120" s="8" t="n">
        <f aca="false">A120-WEEKDAY(A120,3)</f>
        <v>43955</v>
      </c>
      <c r="J120" s="10" t="n">
        <f aca="false">IFERROR(D120/E120,"")</f>
        <v>409748.972222222</v>
      </c>
      <c r="K120" s="11" t="n">
        <f aca="false">IFERROR(D120/F120,"")</f>
        <v>1650.4881769357</v>
      </c>
    </row>
    <row r="121" customFormat="false" ht="15" hidden="false" customHeight="false" outlineLevel="0" collapsed="false">
      <c r="A121" s="8" t="n">
        <v>43957</v>
      </c>
      <c r="B121" s="9" t="s">
        <v>31</v>
      </c>
      <c r="C121" s="10" t="n">
        <v>224779.5</v>
      </c>
      <c r="D121" s="10" t="n">
        <v>23032992</v>
      </c>
      <c r="E121" s="9" t="n">
        <v>59</v>
      </c>
      <c r="F121" s="9" t="n">
        <v>14103</v>
      </c>
      <c r="G121" s="9" t="n">
        <v>13118</v>
      </c>
      <c r="H121" s="9" t="n">
        <f aca="false">WEEKNUM(A121,21)</f>
        <v>19</v>
      </c>
      <c r="I121" s="8" t="n">
        <f aca="false">A121-WEEKDAY(A121,3)</f>
        <v>43955</v>
      </c>
      <c r="J121" s="10" t="n">
        <f aca="false">IFERROR(D121/E121,"")</f>
        <v>390389.694915254</v>
      </c>
      <c r="K121" s="11" t="n">
        <f aca="false">IFERROR(D121/F121,"")</f>
        <v>1633.19804296958</v>
      </c>
    </row>
    <row r="122" customFormat="false" ht="15" hidden="false" customHeight="false" outlineLevel="0" collapsed="false">
      <c r="A122" s="8" t="n">
        <v>43957</v>
      </c>
      <c r="B122" s="9" t="s">
        <v>32</v>
      </c>
      <c r="C122" s="10" t="n">
        <v>24678</v>
      </c>
      <c r="D122" s="10" t="n">
        <v>2232519</v>
      </c>
      <c r="E122" s="9" t="n">
        <v>19</v>
      </c>
      <c r="F122" s="9" t="n">
        <v>1499</v>
      </c>
      <c r="G122" s="9" t="n">
        <v>1323</v>
      </c>
      <c r="H122" s="9" t="n">
        <f aca="false">WEEKNUM(A122,21)</f>
        <v>19</v>
      </c>
      <c r="I122" s="8" t="n">
        <f aca="false">A122-WEEKDAY(A122,3)</f>
        <v>43955</v>
      </c>
      <c r="J122" s="10" t="n">
        <f aca="false">IFERROR(D122/E122,"")</f>
        <v>117501</v>
      </c>
      <c r="K122" s="11" t="n">
        <f aca="false">IFERROR(D122/F122,"")</f>
        <v>1489.33889259506</v>
      </c>
    </row>
    <row r="123" customFormat="false" ht="15" hidden="false" customHeight="false" outlineLevel="0" collapsed="false">
      <c r="A123" s="8" t="n">
        <v>43957</v>
      </c>
      <c r="B123" s="9" t="s">
        <v>33</v>
      </c>
      <c r="C123" s="10" t="n">
        <v>12468</v>
      </c>
      <c r="D123" s="10" t="n">
        <v>1016566.5</v>
      </c>
      <c r="E123" s="9" t="n">
        <v>15</v>
      </c>
      <c r="F123" s="9" t="n">
        <v>701</v>
      </c>
      <c r="G123" s="9" t="n">
        <v>611</v>
      </c>
      <c r="H123" s="9" t="n">
        <f aca="false">WEEKNUM(A123,21)</f>
        <v>19</v>
      </c>
      <c r="I123" s="8" t="n">
        <f aca="false">A123-WEEKDAY(A123,3)</f>
        <v>43955</v>
      </c>
      <c r="J123" s="10" t="n">
        <f aca="false">IFERROR(D123/E123,"")</f>
        <v>67771.1</v>
      </c>
      <c r="K123" s="11" t="n">
        <f aca="false">IFERROR(D123/F123,"")</f>
        <v>1450.16619115549</v>
      </c>
    </row>
    <row r="124" customFormat="false" ht="15" hidden="false" customHeight="false" outlineLevel="0" collapsed="false">
      <c r="A124" s="8" t="n">
        <v>43957</v>
      </c>
      <c r="B124" s="9" t="s">
        <v>34</v>
      </c>
      <c r="C124" s="10" t="n">
        <v>14061</v>
      </c>
      <c r="D124" s="10" t="n">
        <v>1221057</v>
      </c>
      <c r="E124" s="9" t="n">
        <v>15</v>
      </c>
      <c r="F124" s="9" t="n">
        <v>839</v>
      </c>
      <c r="G124" s="9" t="n">
        <v>733</v>
      </c>
      <c r="H124" s="9" t="n">
        <f aca="false">WEEKNUM(A124,21)</f>
        <v>19</v>
      </c>
      <c r="I124" s="8" t="n">
        <f aca="false">A124-WEEKDAY(A124,3)</f>
        <v>43955</v>
      </c>
      <c r="J124" s="10" t="n">
        <f aca="false">IFERROR(D124/E124,"")</f>
        <v>81403.8</v>
      </c>
      <c r="K124" s="11" t="n">
        <f aca="false">IFERROR(D124/F124,"")</f>
        <v>1455.37187127533</v>
      </c>
    </row>
    <row r="125" customFormat="false" ht="15" hidden="false" customHeight="false" outlineLevel="0" collapsed="false">
      <c r="A125" s="8" t="n">
        <v>43957</v>
      </c>
      <c r="B125" s="9" t="s">
        <v>38</v>
      </c>
      <c r="C125" s="10" t="n">
        <v>8464.5</v>
      </c>
      <c r="D125" s="10" t="n">
        <v>739291.5</v>
      </c>
      <c r="E125" s="9" t="n">
        <v>15</v>
      </c>
      <c r="F125" s="9" t="n">
        <v>467</v>
      </c>
      <c r="G125" s="9" t="n">
        <v>389</v>
      </c>
      <c r="H125" s="9" t="n">
        <f aca="false">WEEKNUM(A125,21)</f>
        <v>19</v>
      </c>
      <c r="I125" s="8" t="n">
        <f aca="false">A125-WEEKDAY(A125,3)</f>
        <v>43955</v>
      </c>
      <c r="J125" s="10" t="n">
        <f aca="false">IFERROR(D125/E125,"")</f>
        <v>49286.1</v>
      </c>
      <c r="K125" s="11" t="n">
        <f aca="false">IFERROR(D125/F125,"")</f>
        <v>1583.06531049251</v>
      </c>
    </row>
    <row r="126" customFormat="false" ht="15" hidden="false" customHeight="false" outlineLevel="0" collapsed="false">
      <c r="A126" s="8" t="n">
        <v>43957</v>
      </c>
      <c r="B126" s="9" t="s">
        <v>35</v>
      </c>
      <c r="C126" s="10" t="n">
        <v>355278</v>
      </c>
      <c r="D126" s="10" t="n">
        <v>38092344</v>
      </c>
      <c r="E126" s="9" t="n">
        <v>125</v>
      </c>
      <c r="F126" s="9" t="n">
        <v>20218</v>
      </c>
      <c r="G126" s="9" t="n">
        <v>18647</v>
      </c>
      <c r="H126" s="9" t="n">
        <f aca="false">WEEKNUM(A126,21)</f>
        <v>19</v>
      </c>
      <c r="I126" s="8" t="n">
        <f aca="false">A126-WEEKDAY(A126,3)</f>
        <v>43955</v>
      </c>
      <c r="J126" s="10" t="n">
        <f aca="false">IFERROR(D126/E126,"")</f>
        <v>304738.752</v>
      </c>
      <c r="K126" s="11" t="n">
        <f aca="false">IFERROR(D126/F126,"")</f>
        <v>1884.08072015036</v>
      </c>
    </row>
    <row r="127" customFormat="false" ht="15" hidden="false" customHeight="false" outlineLevel="0" collapsed="false">
      <c r="A127" s="8" t="n">
        <v>43957</v>
      </c>
      <c r="B127" s="9" t="s">
        <v>36</v>
      </c>
      <c r="C127" s="10" t="n">
        <v>277512</v>
      </c>
      <c r="D127" s="10" t="n">
        <v>28770810.1056</v>
      </c>
      <c r="E127" s="9" t="n">
        <v>129</v>
      </c>
      <c r="F127" s="9" t="n">
        <v>16376</v>
      </c>
      <c r="G127" s="9" t="n">
        <v>15197</v>
      </c>
      <c r="H127" s="9" t="n">
        <f aca="false">WEEKNUM(A127,21)</f>
        <v>19</v>
      </c>
      <c r="I127" s="8" t="n">
        <f aca="false">A127-WEEKDAY(A127,3)</f>
        <v>43955</v>
      </c>
      <c r="J127" s="10" t="n">
        <f aca="false">IFERROR(D127/E127,"")</f>
        <v>223029.535702326</v>
      </c>
      <c r="K127" s="11" t="n">
        <f aca="false">IFERROR(D127/F127,"")</f>
        <v>1756.88874606742</v>
      </c>
    </row>
    <row r="128" customFormat="false" ht="15" hidden="false" customHeight="false" outlineLevel="0" collapsed="false">
      <c r="A128" s="8" t="n">
        <v>43957</v>
      </c>
      <c r="B128" s="9" t="s">
        <v>37</v>
      </c>
      <c r="C128" s="10" t="n">
        <v>9210</v>
      </c>
      <c r="D128" s="10" t="n">
        <v>696832.5</v>
      </c>
      <c r="E128" s="9" t="n">
        <v>10</v>
      </c>
      <c r="F128" s="9" t="n">
        <v>465</v>
      </c>
      <c r="G128" s="9" t="n">
        <v>390</v>
      </c>
      <c r="H128" s="9" t="n">
        <f aca="false">WEEKNUM(A128,21)</f>
        <v>19</v>
      </c>
      <c r="I128" s="8" t="n">
        <f aca="false">A128-WEEKDAY(A128,3)</f>
        <v>43955</v>
      </c>
      <c r="J128" s="10" t="n">
        <f aca="false">IFERROR(D128/E128,"")</f>
        <v>69683.25</v>
      </c>
      <c r="K128" s="11" t="n">
        <f aca="false">IFERROR(D128/F128,"")</f>
        <v>1498.56451612903</v>
      </c>
    </row>
    <row r="129" customFormat="false" ht="15" hidden="false" customHeight="false" outlineLevel="0" collapsed="false">
      <c r="A129" s="8" t="n">
        <v>43958</v>
      </c>
      <c r="B129" s="9" t="s">
        <v>25</v>
      </c>
      <c r="C129" s="10" t="n">
        <v>71067</v>
      </c>
      <c r="D129" s="10" t="n">
        <v>6175837.5</v>
      </c>
      <c r="E129" s="9" t="n">
        <v>36</v>
      </c>
      <c r="F129" s="9" t="n">
        <v>4826</v>
      </c>
      <c r="G129" s="9" t="n">
        <v>4426</v>
      </c>
      <c r="H129" s="9" t="n">
        <f aca="false">WEEKNUM(A129,21)</f>
        <v>19</v>
      </c>
      <c r="I129" s="8" t="n">
        <f aca="false">A129-WEEKDAY(A129,3)</f>
        <v>43955</v>
      </c>
      <c r="J129" s="10" t="n">
        <f aca="false">IFERROR(D129/E129,"")</f>
        <v>171551.041666667</v>
      </c>
      <c r="K129" s="11" t="n">
        <f aca="false">IFERROR(D129/F129,"")</f>
        <v>1279.70109821799</v>
      </c>
    </row>
    <row r="130" customFormat="false" ht="15" hidden="false" customHeight="false" outlineLevel="0" collapsed="false">
      <c r="A130" s="8" t="n">
        <v>43958</v>
      </c>
      <c r="B130" s="9" t="s">
        <v>26</v>
      </c>
      <c r="C130" s="10" t="n">
        <v>73204.5</v>
      </c>
      <c r="D130" s="10" t="n">
        <v>6591883.5</v>
      </c>
      <c r="E130" s="9" t="n">
        <v>31</v>
      </c>
      <c r="F130" s="9" t="n">
        <v>4903</v>
      </c>
      <c r="G130" s="9" t="n">
        <v>4527</v>
      </c>
      <c r="H130" s="9" t="n">
        <f aca="false">WEEKNUM(A130,21)</f>
        <v>19</v>
      </c>
      <c r="I130" s="8" t="n">
        <f aca="false">A130-WEEKDAY(A130,3)</f>
        <v>43955</v>
      </c>
      <c r="J130" s="10" t="n">
        <f aca="false">IFERROR(D130/E130,"")</f>
        <v>212641.403225806</v>
      </c>
      <c r="K130" s="11" t="n">
        <f aca="false">IFERROR(D130/F130,"")</f>
        <v>1344.45920864777</v>
      </c>
    </row>
    <row r="131" customFormat="false" ht="15" hidden="false" customHeight="false" outlineLevel="0" collapsed="false">
      <c r="A131" s="8" t="n">
        <v>43958</v>
      </c>
      <c r="B131" s="9" t="s">
        <v>27</v>
      </c>
      <c r="C131" s="10" t="n">
        <v>32851.5</v>
      </c>
      <c r="D131" s="10" t="n">
        <v>2934504</v>
      </c>
      <c r="E131" s="9" t="n">
        <v>21</v>
      </c>
      <c r="F131" s="9" t="n">
        <v>1879</v>
      </c>
      <c r="G131" s="9" t="n">
        <v>1695</v>
      </c>
      <c r="H131" s="9" t="n">
        <f aca="false">WEEKNUM(A131,21)</f>
        <v>19</v>
      </c>
      <c r="I131" s="8" t="n">
        <f aca="false">A131-WEEKDAY(A131,3)</f>
        <v>43955</v>
      </c>
      <c r="J131" s="10" t="n">
        <f aca="false">IFERROR(D131/E131,"")</f>
        <v>139738.285714286</v>
      </c>
      <c r="K131" s="11" t="n">
        <f aca="false">IFERROR(D131/F131,"")</f>
        <v>1561.73709419904</v>
      </c>
    </row>
    <row r="132" customFormat="false" ht="15" hidden="false" customHeight="false" outlineLevel="0" collapsed="false">
      <c r="A132" s="8" t="n">
        <v>43958</v>
      </c>
      <c r="B132" s="9" t="s">
        <v>28</v>
      </c>
      <c r="C132" s="10" t="n">
        <v>27018</v>
      </c>
      <c r="D132" s="10" t="n">
        <v>2472213</v>
      </c>
      <c r="E132" s="9" t="n">
        <v>21</v>
      </c>
      <c r="F132" s="9" t="n">
        <v>1542</v>
      </c>
      <c r="G132" s="9" t="n">
        <v>1405</v>
      </c>
      <c r="H132" s="9" t="n">
        <f aca="false">WEEKNUM(A132,21)</f>
        <v>19</v>
      </c>
      <c r="I132" s="8" t="n">
        <f aca="false">A132-WEEKDAY(A132,3)</f>
        <v>43955</v>
      </c>
      <c r="J132" s="10" t="n">
        <f aca="false">IFERROR(D132/E132,"")</f>
        <v>117724.428571429</v>
      </c>
      <c r="K132" s="11" t="n">
        <f aca="false">IFERROR(D132/F132,"")</f>
        <v>1603.25097276265</v>
      </c>
    </row>
    <row r="133" customFormat="false" ht="15" hidden="false" customHeight="false" outlineLevel="0" collapsed="false">
      <c r="A133" s="8" t="n">
        <v>43958</v>
      </c>
      <c r="B133" s="9" t="s">
        <v>29</v>
      </c>
      <c r="C133" s="10" t="n">
        <v>26184</v>
      </c>
      <c r="D133" s="10" t="n">
        <v>2308336.5</v>
      </c>
      <c r="E133" s="9" t="n">
        <v>19</v>
      </c>
      <c r="F133" s="9" t="n">
        <v>1580</v>
      </c>
      <c r="G133" s="9" t="n">
        <v>1435</v>
      </c>
      <c r="H133" s="9" t="n">
        <f aca="false">WEEKNUM(A133,21)</f>
        <v>19</v>
      </c>
      <c r="I133" s="8" t="n">
        <f aca="false">A133-WEEKDAY(A133,3)</f>
        <v>43955</v>
      </c>
      <c r="J133" s="10" t="n">
        <f aca="false">IFERROR(D133/E133,"")</f>
        <v>121491.394736842</v>
      </c>
      <c r="K133" s="11" t="n">
        <f aca="false">IFERROR(D133/F133,"")</f>
        <v>1460.97246835443</v>
      </c>
    </row>
    <row r="134" customFormat="false" ht="15" hidden="false" customHeight="false" outlineLevel="0" collapsed="false">
      <c r="A134" s="8" t="n">
        <v>43958</v>
      </c>
      <c r="B134" s="9" t="s">
        <v>30</v>
      </c>
      <c r="C134" s="10" t="n">
        <v>209415</v>
      </c>
      <c r="D134" s="10" t="n">
        <v>21463023</v>
      </c>
      <c r="E134" s="9" t="n">
        <v>54</v>
      </c>
      <c r="F134" s="9" t="n">
        <v>12743</v>
      </c>
      <c r="G134" s="9" t="n">
        <v>11858</v>
      </c>
      <c r="H134" s="9" t="n">
        <f aca="false">WEEKNUM(A134,21)</f>
        <v>19</v>
      </c>
      <c r="I134" s="8" t="n">
        <f aca="false">A134-WEEKDAY(A134,3)</f>
        <v>43955</v>
      </c>
      <c r="J134" s="10" t="n">
        <f aca="false">IFERROR(D134/E134,"")</f>
        <v>397463.388888889</v>
      </c>
      <c r="K134" s="11" t="n">
        <f aca="false">IFERROR(D134/F134,"")</f>
        <v>1684.29906615397</v>
      </c>
    </row>
    <row r="135" customFormat="false" ht="15" hidden="false" customHeight="false" outlineLevel="0" collapsed="false">
      <c r="A135" s="8" t="n">
        <v>43958</v>
      </c>
      <c r="B135" s="9" t="s">
        <v>31</v>
      </c>
      <c r="C135" s="10" t="n">
        <v>219411</v>
      </c>
      <c r="D135" s="10" t="n">
        <v>22460130</v>
      </c>
      <c r="E135" s="9" t="n">
        <v>59</v>
      </c>
      <c r="F135" s="9" t="n">
        <v>13495</v>
      </c>
      <c r="G135" s="9" t="n">
        <v>12517</v>
      </c>
      <c r="H135" s="9" t="n">
        <f aca="false">WEEKNUM(A135,21)</f>
        <v>19</v>
      </c>
      <c r="I135" s="8" t="n">
        <f aca="false">A135-WEEKDAY(A135,3)</f>
        <v>43955</v>
      </c>
      <c r="J135" s="10" t="n">
        <f aca="false">IFERROR(D135/E135,"")</f>
        <v>380680.169491525</v>
      </c>
      <c r="K135" s="11" t="n">
        <f aca="false">IFERROR(D135/F135,"")</f>
        <v>1664.32975175991</v>
      </c>
    </row>
    <row r="136" customFormat="false" ht="15" hidden="false" customHeight="false" outlineLevel="0" collapsed="false">
      <c r="A136" s="8" t="n">
        <v>43958</v>
      </c>
      <c r="B136" s="9" t="s">
        <v>32</v>
      </c>
      <c r="C136" s="10" t="n">
        <v>25468.5</v>
      </c>
      <c r="D136" s="10" t="n">
        <v>2350672.5</v>
      </c>
      <c r="E136" s="9" t="n">
        <v>19</v>
      </c>
      <c r="F136" s="9" t="n">
        <v>1530</v>
      </c>
      <c r="G136" s="9" t="n">
        <v>1338</v>
      </c>
      <c r="H136" s="9" t="n">
        <f aca="false">WEEKNUM(A136,21)</f>
        <v>19</v>
      </c>
      <c r="I136" s="8" t="n">
        <f aca="false">A136-WEEKDAY(A136,3)</f>
        <v>43955</v>
      </c>
      <c r="J136" s="10" t="n">
        <f aca="false">IFERROR(D136/E136,"")</f>
        <v>123719.605263158</v>
      </c>
      <c r="K136" s="11" t="n">
        <f aca="false">IFERROR(D136/F136,"")</f>
        <v>1536.38725490196</v>
      </c>
    </row>
    <row r="137" customFormat="false" ht="15" hidden="false" customHeight="false" outlineLevel="0" collapsed="false">
      <c r="A137" s="8" t="n">
        <v>43958</v>
      </c>
      <c r="B137" s="9" t="s">
        <v>33</v>
      </c>
      <c r="C137" s="10" t="n">
        <v>11719.5</v>
      </c>
      <c r="D137" s="10" t="n">
        <v>965880</v>
      </c>
      <c r="E137" s="9" t="n">
        <v>15</v>
      </c>
      <c r="F137" s="9" t="n">
        <v>676</v>
      </c>
      <c r="G137" s="9" t="n">
        <v>591</v>
      </c>
      <c r="H137" s="9" t="n">
        <f aca="false">WEEKNUM(A137,21)</f>
        <v>19</v>
      </c>
      <c r="I137" s="8" t="n">
        <f aca="false">A137-WEEKDAY(A137,3)</f>
        <v>43955</v>
      </c>
      <c r="J137" s="10" t="n">
        <f aca="false">IFERROR(D137/E137,"")</f>
        <v>64392</v>
      </c>
      <c r="K137" s="11" t="n">
        <f aca="false">IFERROR(D137/F137,"")</f>
        <v>1428.81656804734</v>
      </c>
    </row>
    <row r="138" customFormat="false" ht="15" hidden="false" customHeight="false" outlineLevel="0" collapsed="false">
      <c r="A138" s="8" t="n">
        <v>43958</v>
      </c>
      <c r="B138" s="9" t="s">
        <v>34</v>
      </c>
      <c r="C138" s="10" t="n">
        <v>12705</v>
      </c>
      <c r="D138" s="10" t="n">
        <v>1123894.5</v>
      </c>
      <c r="E138" s="9" t="n">
        <v>15</v>
      </c>
      <c r="F138" s="9" t="n">
        <v>805</v>
      </c>
      <c r="G138" s="9" t="n">
        <v>703</v>
      </c>
      <c r="H138" s="9" t="n">
        <f aca="false">WEEKNUM(A138,21)</f>
        <v>19</v>
      </c>
      <c r="I138" s="8" t="n">
        <f aca="false">A138-WEEKDAY(A138,3)</f>
        <v>43955</v>
      </c>
      <c r="J138" s="10" t="n">
        <f aca="false">IFERROR(D138/E138,"")</f>
        <v>74926.3</v>
      </c>
      <c r="K138" s="11" t="n">
        <f aca="false">IFERROR(D138/F138,"")</f>
        <v>1396.14223602484</v>
      </c>
    </row>
    <row r="139" customFormat="false" ht="15" hidden="false" customHeight="false" outlineLevel="0" collapsed="false">
      <c r="A139" s="8" t="n">
        <v>43958</v>
      </c>
      <c r="B139" s="9" t="s">
        <v>38</v>
      </c>
      <c r="C139" s="10" t="n">
        <v>8719.5</v>
      </c>
      <c r="D139" s="10" t="n">
        <v>769276.5</v>
      </c>
      <c r="E139" s="9" t="n">
        <v>15</v>
      </c>
      <c r="F139" s="9" t="n">
        <v>480</v>
      </c>
      <c r="G139" s="9" t="n">
        <v>398</v>
      </c>
      <c r="H139" s="9" t="n">
        <f aca="false">WEEKNUM(A139,21)</f>
        <v>19</v>
      </c>
      <c r="I139" s="8" t="n">
        <f aca="false">A139-WEEKDAY(A139,3)</f>
        <v>43955</v>
      </c>
      <c r="J139" s="10" t="n">
        <f aca="false">IFERROR(D139/E139,"")</f>
        <v>51285.1</v>
      </c>
      <c r="K139" s="11" t="n">
        <f aca="false">IFERROR(D139/F139,"")</f>
        <v>1602.659375</v>
      </c>
    </row>
    <row r="140" customFormat="false" ht="15" hidden="false" customHeight="false" outlineLevel="0" collapsed="false">
      <c r="A140" s="8" t="n">
        <v>43958</v>
      </c>
      <c r="B140" s="9" t="s">
        <v>35</v>
      </c>
      <c r="C140" s="10" t="n">
        <v>319110</v>
      </c>
      <c r="D140" s="10" t="n">
        <v>33763989</v>
      </c>
      <c r="E140" s="9" t="n">
        <v>125</v>
      </c>
      <c r="F140" s="9" t="n">
        <v>18014</v>
      </c>
      <c r="G140" s="9" t="n">
        <v>16675</v>
      </c>
      <c r="H140" s="9" t="n">
        <f aca="false">WEEKNUM(A140,21)</f>
        <v>19</v>
      </c>
      <c r="I140" s="8" t="n">
        <f aca="false">A140-WEEKDAY(A140,3)</f>
        <v>43955</v>
      </c>
      <c r="J140" s="10" t="n">
        <f aca="false">IFERROR(D140/E140,"")</f>
        <v>270111.912</v>
      </c>
      <c r="K140" s="11" t="n">
        <f aca="false">IFERROR(D140/F140,"")</f>
        <v>1874.31936271789</v>
      </c>
    </row>
    <row r="141" customFormat="false" ht="15" hidden="false" customHeight="false" outlineLevel="0" collapsed="false">
      <c r="A141" s="8" t="n">
        <v>43958</v>
      </c>
      <c r="B141" s="9" t="s">
        <v>36</v>
      </c>
      <c r="C141" s="10" t="n">
        <v>247813.5</v>
      </c>
      <c r="D141" s="10" t="n">
        <v>25325271</v>
      </c>
      <c r="E141" s="9" t="n">
        <v>129</v>
      </c>
      <c r="F141" s="9" t="n">
        <v>14582</v>
      </c>
      <c r="G141" s="9" t="n">
        <v>13512</v>
      </c>
      <c r="H141" s="9" t="n">
        <f aca="false">WEEKNUM(A141,21)</f>
        <v>19</v>
      </c>
      <c r="I141" s="8" t="n">
        <f aca="false">A141-WEEKDAY(A141,3)</f>
        <v>43955</v>
      </c>
      <c r="J141" s="10" t="n">
        <f aca="false">IFERROR(D141/E141,"")</f>
        <v>196319.930232558</v>
      </c>
      <c r="K141" s="11" t="n">
        <f aca="false">IFERROR(D141/F141,"")</f>
        <v>1736.74879989028</v>
      </c>
    </row>
    <row r="142" customFormat="false" ht="15" hidden="false" customHeight="false" outlineLevel="0" collapsed="false">
      <c r="A142" s="8" t="n">
        <v>43958</v>
      </c>
      <c r="B142" s="9" t="s">
        <v>37</v>
      </c>
      <c r="C142" s="10" t="n">
        <v>11029.5</v>
      </c>
      <c r="D142" s="10" t="n">
        <v>863754</v>
      </c>
      <c r="E142" s="9" t="n">
        <v>10</v>
      </c>
      <c r="F142" s="9" t="n">
        <v>563</v>
      </c>
      <c r="G142" s="9" t="n">
        <v>486</v>
      </c>
      <c r="H142" s="9" t="n">
        <f aca="false">WEEKNUM(A142,21)</f>
        <v>19</v>
      </c>
      <c r="I142" s="8" t="n">
        <f aca="false">A142-WEEKDAY(A142,3)</f>
        <v>43955</v>
      </c>
      <c r="J142" s="10" t="n">
        <f aca="false">IFERROR(D142/E142,"")</f>
        <v>86375.4</v>
      </c>
      <c r="K142" s="11" t="n">
        <f aca="false">IFERROR(D142/F142,"")</f>
        <v>1534.19893428064</v>
      </c>
    </row>
    <row r="143" customFormat="false" ht="15" hidden="false" customHeight="false" outlineLevel="0" collapsed="false">
      <c r="A143" s="8" t="n">
        <v>43959</v>
      </c>
      <c r="B143" s="9" t="s">
        <v>25</v>
      </c>
      <c r="C143" s="10" t="n">
        <v>61804.5</v>
      </c>
      <c r="D143" s="10" t="n">
        <v>5365708.5</v>
      </c>
      <c r="E143" s="9" t="n">
        <v>36</v>
      </c>
      <c r="F143" s="9" t="n">
        <v>4199</v>
      </c>
      <c r="G143" s="9" t="n">
        <v>3867</v>
      </c>
      <c r="H143" s="9" t="n">
        <f aca="false">WEEKNUM(A143,21)</f>
        <v>19</v>
      </c>
      <c r="I143" s="8" t="n">
        <f aca="false">A143-WEEKDAY(A143,3)</f>
        <v>43955</v>
      </c>
      <c r="J143" s="10" t="n">
        <f aca="false">IFERROR(D143/E143,"")</f>
        <v>149047.458333333</v>
      </c>
      <c r="K143" s="11" t="n">
        <f aca="false">IFERROR(D143/F143,"")</f>
        <v>1277.85389378423</v>
      </c>
    </row>
    <row r="144" customFormat="false" ht="15" hidden="false" customHeight="false" outlineLevel="0" collapsed="false">
      <c r="A144" s="8" t="n">
        <v>43959</v>
      </c>
      <c r="B144" s="9" t="s">
        <v>26</v>
      </c>
      <c r="C144" s="10" t="n">
        <v>69544.5</v>
      </c>
      <c r="D144" s="10" t="n">
        <v>6293776.5</v>
      </c>
      <c r="E144" s="9" t="n">
        <v>31</v>
      </c>
      <c r="F144" s="9" t="n">
        <v>4635</v>
      </c>
      <c r="G144" s="9" t="n">
        <v>4266</v>
      </c>
      <c r="H144" s="9" t="n">
        <f aca="false">WEEKNUM(A144,21)</f>
        <v>19</v>
      </c>
      <c r="I144" s="8" t="n">
        <f aca="false">A144-WEEKDAY(A144,3)</f>
        <v>43955</v>
      </c>
      <c r="J144" s="10" t="n">
        <f aca="false">IFERROR(D144/E144,"")</f>
        <v>203025.048387097</v>
      </c>
      <c r="K144" s="11" t="n">
        <f aca="false">IFERROR(D144/F144,"")</f>
        <v>1357.88058252427</v>
      </c>
    </row>
    <row r="145" customFormat="false" ht="15" hidden="false" customHeight="false" outlineLevel="0" collapsed="false">
      <c r="A145" s="8" t="n">
        <v>43959</v>
      </c>
      <c r="B145" s="9" t="s">
        <v>27</v>
      </c>
      <c r="C145" s="10" t="n">
        <v>34399.5</v>
      </c>
      <c r="D145" s="10" t="n">
        <v>3201358.5</v>
      </c>
      <c r="E145" s="9" t="n">
        <v>21</v>
      </c>
      <c r="F145" s="9" t="n">
        <v>1957</v>
      </c>
      <c r="G145" s="9" t="n">
        <v>1755</v>
      </c>
      <c r="H145" s="9" t="n">
        <f aca="false">WEEKNUM(A145,21)</f>
        <v>19</v>
      </c>
      <c r="I145" s="8" t="n">
        <f aca="false">A145-WEEKDAY(A145,3)</f>
        <v>43955</v>
      </c>
      <c r="J145" s="10" t="n">
        <f aca="false">IFERROR(D145/E145,"")</f>
        <v>152445.642857143</v>
      </c>
      <c r="K145" s="11" t="n">
        <f aca="false">IFERROR(D145/F145,"")</f>
        <v>1635.85002554931</v>
      </c>
    </row>
    <row r="146" customFormat="false" ht="15" hidden="false" customHeight="false" outlineLevel="0" collapsed="false">
      <c r="A146" s="8" t="n">
        <v>43959</v>
      </c>
      <c r="B146" s="9" t="s">
        <v>28</v>
      </c>
      <c r="C146" s="10" t="n">
        <v>29409</v>
      </c>
      <c r="D146" s="10" t="n">
        <v>2645160</v>
      </c>
      <c r="E146" s="9" t="n">
        <v>21</v>
      </c>
      <c r="F146" s="9" t="n">
        <v>1646</v>
      </c>
      <c r="G146" s="9" t="n">
        <v>1492</v>
      </c>
      <c r="H146" s="9" t="n">
        <f aca="false">WEEKNUM(A146,21)</f>
        <v>19</v>
      </c>
      <c r="I146" s="8" t="n">
        <f aca="false">A146-WEEKDAY(A146,3)</f>
        <v>43955</v>
      </c>
      <c r="J146" s="10" t="n">
        <f aca="false">IFERROR(D146/E146,"")</f>
        <v>125960</v>
      </c>
      <c r="K146" s="11" t="n">
        <f aca="false">IFERROR(D146/F146,"")</f>
        <v>1607.02308626975</v>
      </c>
    </row>
    <row r="147" customFormat="false" ht="15" hidden="false" customHeight="false" outlineLevel="0" collapsed="false">
      <c r="A147" s="8" t="n">
        <v>43959</v>
      </c>
      <c r="B147" s="9" t="s">
        <v>29</v>
      </c>
      <c r="C147" s="10" t="n">
        <v>25020</v>
      </c>
      <c r="D147" s="10" t="n">
        <v>2235960</v>
      </c>
      <c r="E147" s="9" t="n">
        <v>19</v>
      </c>
      <c r="F147" s="9" t="n">
        <v>1520</v>
      </c>
      <c r="G147" s="9" t="n">
        <v>1380</v>
      </c>
      <c r="H147" s="9" t="n">
        <f aca="false">WEEKNUM(A147,21)</f>
        <v>19</v>
      </c>
      <c r="I147" s="8" t="n">
        <f aca="false">A147-WEEKDAY(A147,3)</f>
        <v>43955</v>
      </c>
      <c r="J147" s="10" t="n">
        <f aca="false">IFERROR(D147/E147,"")</f>
        <v>117682.105263158</v>
      </c>
      <c r="K147" s="11" t="n">
        <f aca="false">IFERROR(D147/F147,"")</f>
        <v>1471.02631578947</v>
      </c>
    </row>
    <row r="148" customFormat="false" ht="15" hidden="false" customHeight="false" outlineLevel="0" collapsed="false">
      <c r="A148" s="8" t="n">
        <v>43959</v>
      </c>
      <c r="B148" s="9" t="s">
        <v>30</v>
      </c>
      <c r="C148" s="10" t="n">
        <v>225076.5</v>
      </c>
      <c r="D148" s="10" t="n">
        <v>22846078.5</v>
      </c>
      <c r="E148" s="9" t="n">
        <v>54</v>
      </c>
      <c r="F148" s="9" t="n">
        <v>13563</v>
      </c>
      <c r="G148" s="9" t="n">
        <v>12604</v>
      </c>
      <c r="H148" s="9" t="n">
        <f aca="false">WEEKNUM(A148,21)</f>
        <v>19</v>
      </c>
      <c r="I148" s="8" t="n">
        <f aca="false">A148-WEEKDAY(A148,3)</f>
        <v>43955</v>
      </c>
      <c r="J148" s="10" t="n">
        <f aca="false">IFERROR(D148/E148,"")</f>
        <v>423075.527777778</v>
      </c>
      <c r="K148" s="11" t="n">
        <f aca="false">IFERROR(D148/F148,"")</f>
        <v>1684.44138464941</v>
      </c>
    </row>
    <row r="149" customFormat="false" ht="15" hidden="false" customHeight="false" outlineLevel="0" collapsed="false">
      <c r="A149" s="8" t="n">
        <v>43959</v>
      </c>
      <c r="B149" s="9" t="s">
        <v>31</v>
      </c>
      <c r="C149" s="10" t="n">
        <v>232701</v>
      </c>
      <c r="D149" s="10" t="n">
        <v>23881948.5</v>
      </c>
      <c r="E149" s="9" t="n">
        <v>59</v>
      </c>
      <c r="F149" s="9" t="n">
        <v>14098</v>
      </c>
      <c r="G149" s="9" t="n">
        <v>13106</v>
      </c>
      <c r="H149" s="9" t="n">
        <f aca="false">WEEKNUM(A149,21)</f>
        <v>19</v>
      </c>
      <c r="I149" s="8" t="n">
        <f aca="false">A149-WEEKDAY(A149,3)</f>
        <v>43955</v>
      </c>
      <c r="J149" s="10" t="n">
        <f aca="false">IFERROR(D149/E149,"")</f>
        <v>404778.788135593</v>
      </c>
      <c r="K149" s="11" t="n">
        <f aca="false">IFERROR(D149/F149,"")</f>
        <v>1693.99549581501</v>
      </c>
    </row>
    <row r="150" customFormat="false" ht="15" hidden="false" customHeight="false" outlineLevel="0" collapsed="false">
      <c r="A150" s="8" t="n">
        <v>43959</v>
      </c>
      <c r="B150" s="9" t="s">
        <v>32</v>
      </c>
      <c r="C150" s="10" t="n">
        <v>25294.5</v>
      </c>
      <c r="D150" s="10" t="n">
        <v>2271454.5</v>
      </c>
      <c r="E150" s="9" t="n">
        <v>19</v>
      </c>
      <c r="F150" s="9" t="n">
        <v>1522</v>
      </c>
      <c r="G150" s="9" t="n">
        <v>1340</v>
      </c>
      <c r="H150" s="9" t="n">
        <f aca="false">WEEKNUM(A150,21)</f>
        <v>19</v>
      </c>
      <c r="I150" s="8" t="n">
        <f aca="false">A150-WEEKDAY(A150,3)</f>
        <v>43955</v>
      </c>
      <c r="J150" s="10" t="n">
        <f aca="false">IFERROR(D150/E150,"")</f>
        <v>119550.236842105</v>
      </c>
      <c r="K150" s="11" t="n">
        <f aca="false">IFERROR(D150/F150,"")</f>
        <v>1492.41425755585</v>
      </c>
    </row>
    <row r="151" customFormat="false" ht="15" hidden="false" customHeight="false" outlineLevel="0" collapsed="false">
      <c r="A151" s="8" t="n">
        <v>43959</v>
      </c>
      <c r="B151" s="9" t="s">
        <v>33</v>
      </c>
      <c r="C151" s="10" t="n">
        <v>12976.5</v>
      </c>
      <c r="D151" s="10" t="n">
        <v>1046848.5</v>
      </c>
      <c r="E151" s="9" t="n">
        <v>15</v>
      </c>
      <c r="F151" s="9" t="n">
        <v>703</v>
      </c>
      <c r="G151" s="9" t="n">
        <v>609</v>
      </c>
      <c r="H151" s="9" t="n">
        <f aca="false">WEEKNUM(A151,21)</f>
        <v>19</v>
      </c>
      <c r="I151" s="8" t="n">
        <f aca="false">A151-WEEKDAY(A151,3)</f>
        <v>43955</v>
      </c>
      <c r="J151" s="10" t="n">
        <f aca="false">IFERROR(D151/E151,"")</f>
        <v>69789.9</v>
      </c>
      <c r="K151" s="11" t="n">
        <f aca="false">IFERROR(D151/F151,"")</f>
        <v>1489.11593172119</v>
      </c>
    </row>
    <row r="152" customFormat="false" ht="15" hidden="false" customHeight="false" outlineLevel="0" collapsed="false">
      <c r="A152" s="8" t="n">
        <v>43959</v>
      </c>
      <c r="B152" s="9" t="s">
        <v>34</v>
      </c>
      <c r="C152" s="10" t="n">
        <v>14494.5</v>
      </c>
      <c r="D152" s="10" t="n">
        <v>1269786</v>
      </c>
      <c r="E152" s="9" t="n">
        <v>15</v>
      </c>
      <c r="F152" s="9" t="n">
        <v>879</v>
      </c>
      <c r="G152" s="9" t="n">
        <v>768</v>
      </c>
      <c r="H152" s="9" t="n">
        <f aca="false">WEEKNUM(A152,21)</f>
        <v>19</v>
      </c>
      <c r="I152" s="8" t="n">
        <f aca="false">A152-WEEKDAY(A152,3)</f>
        <v>43955</v>
      </c>
      <c r="J152" s="10" t="n">
        <f aca="false">IFERROR(D152/E152,"")</f>
        <v>84652.4</v>
      </c>
      <c r="K152" s="11" t="n">
        <f aca="false">IFERROR(D152/F152,"")</f>
        <v>1444.58020477816</v>
      </c>
    </row>
    <row r="153" customFormat="false" ht="15" hidden="false" customHeight="false" outlineLevel="0" collapsed="false">
      <c r="A153" s="8" t="n">
        <v>43959</v>
      </c>
      <c r="B153" s="9" t="s">
        <v>38</v>
      </c>
      <c r="C153" s="10" t="n">
        <v>9058.5</v>
      </c>
      <c r="D153" s="10" t="n">
        <v>798759</v>
      </c>
      <c r="E153" s="9" t="n">
        <v>15</v>
      </c>
      <c r="F153" s="9" t="n">
        <v>492</v>
      </c>
      <c r="G153" s="9" t="n">
        <v>412</v>
      </c>
      <c r="H153" s="9" t="n">
        <f aca="false">WEEKNUM(A153,21)</f>
        <v>19</v>
      </c>
      <c r="I153" s="8" t="n">
        <f aca="false">A153-WEEKDAY(A153,3)</f>
        <v>43955</v>
      </c>
      <c r="J153" s="10" t="n">
        <f aca="false">IFERROR(D153/E153,"")</f>
        <v>53250.6</v>
      </c>
      <c r="K153" s="11" t="n">
        <f aca="false">IFERROR(D153/F153,"")</f>
        <v>1623.49390243902</v>
      </c>
    </row>
    <row r="154" customFormat="false" ht="15" hidden="false" customHeight="false" outlineLevel="0" collapsed="false">
      <c r="A154" s="8" t="n">
        <v>43959</v>
      </c>
      <c r="B154" s="9" t="s">
        <v>35</v>
      </c>
      <c r="C154" s="10" t="n">
        <v>463530</v>
      </c>
      <c r="D154" s="10" t="n">
        <v>49123180.5</v>
      </c>
      <c r="E154" s="9" t="n">
        <v>125</v>
      </c>
      <c r="F154" s="9" t="n">
        <v>24620</v>
      </c>
      <c r="G154" s="9" t="n">
        <v>22641</v>
      </c>
      <c r="H154" s="9" t="n">
        <f aca="false">WEEKNUM(A154,21)</f>
        <v>19</v>
      </c>
      <c r="I154" s="8" t="n">
        <f aca="false">A154-WEEKDAY(A154,3)</f>
        <v>43955</v>
      </c>
      <c r="J154" s="10" t="n">
        <f aca="false">IFERROR(D154/E154,"")</f>
        <v>392985.444</v>
      </c>
      <c r="K154" s="11" t="n">
        <f aca="false">IFERROR(D154/F154,"")</f>
        <v>1995.25509748172</v>
      </c>
    </row>
    <row r="155" customFormat="false" ht="15" hidden="false" customHeight="false" outlineLevel="0" collapsed="false">
      <c r="A155" s="8" t="n">
        <v>43959</v>
      </c>
      <c r="B155" s="9" t="s">
        <v>36</v>
      </c>
      <c r="C155" s="10" t="n">
        <v>370092</v>
      </c>
      <c r="D155" s="10" t="n">
        <v>38091556.5</v>
      </c>
      <c r="E155" s="9" t="n">
        <v>129</v>
      </c>
      <c r="F155" s="9" t="n">
        <v>20452</v>
      </c>
      <c r="G155" s="9" t="n">
        <v>18857</v>
      </c>
      <c r="H155" s="9" t="n">
        <f aca="false">WEEKNUM(A155,21)</f>
        <v>19</v>
      </c>
      <c r="I155" s="8" t="n">
        <f aca="false">A155-WEEKDAY(A155,3)</f>
        <v>43955</v>
      </c>
      <c r="J155" s="10" t="n">
        <f aca="false">IFERROR(D155/E155,"")</f>
        <v>295283.38372093</v>
      </c>
      <c r="K155" s="11" t="n">
        <f aca="false">IFERROR(D155/F155,"")</f>
        <v>1862.48564932525</v>
      </c>
    </row>
    <row r="156" customFormat="false" ht="15" hidden="false" customHeight="false" outlineLevel="0" collapsed="false">
      <c r="A156" s="8" t="n">
        <v>43959</v>
      </c>
      <c r="B156" s="9" t="s">
        <v>37</v>
      </c>
      <c r="C156" s="10" t="n">
        <v>12528</v>
      </c>
      <c r="D156" s="10" t="n">
        <v>959703</v>
      </c>
      <c r="E156" s="9" t="n">
        <v>10</v>
      </c>
      <c r="F156" s="9" t="n">
        <v>638</v>
      </c>
      <c r="G156" s="9" t="n">
        <v>547</v>
      </c>
      <c r="H156" s="9" t="n">
        <f aca="false">WEEKNUM(A156,21)</f>
        <v>19</v>
      </c>
      <c r="I156" s="8" t="n">
        <f aca="false">A156-WEEKDAY(A156,3)</f>
        <v>43955</v>
      </c>
      <c r="J156" s="10" t="n">
        <f aca="false">IFERROR(D156/E156,"")</f>
        <v>95970.3</v>
      </c>
      <c r="K156" s="11" t="n">
        <f aca="false">IFERROR(D156/F156,"")</f>
        <v>1504.23667711599</v>
      </c>
    </row>
    <row r="157" customFormat="false" ht="15" hidden="false" customHeight="false" outlineLevel="0" collapsed="false">
      <c r="A157" s="8" t="n">
        <v>43960</v>
      </c>
      <c r="B157" s="9" t="s">
        <v>25</v>
      </c>
      <c r="C157" s="10" t="n">
        <v>83373</v>
      </c>
      <c r="D157" s="10" t="n">
        <v>7253427</v>
      </c>
      <c r="E157" s="9" t="n">
        <v>36</v>
      </c>
      <c r="F157" s="9" t="n">
        <v>5413</v>
      </c>
      <c r="G157" s="9" t="n">
        <v>4959</v>
      </c>
      <c r="H157" s="9" t="n">
        <f aca="false">WEEKNUM(A157,21)</f>
        <v>19</v>
      </c>
      <c r="I157" s="8" t="n">
        <f aca="false">A157-WEEKDAY(A157,3)</f>
        <v>43955</v>
      </c>
      <c r="J157" s="10" t="n">
        <f aca="false">IFERROR(D157/E157,"")</f>
        <v>201484.083333333</v>
      </c>
      <c r="K157" s="11" t="n">
        <f aca="false">IFERROR(D157/F157,"")</f>
        <v>1340.00129318308</v>
      </c>
    </row>
    <row r="158" customFormat="false" ht="15" hidden="false" customHeight="false" outlineLevel="0" collapsed="false">
      <c r="A158" s="8" t="n">
        <v>43960</v>
      </c>
      <c r="B158" s="9" t="s">
        <v>26</v>
      </c>
      <c r="C158" s="10" t="n">
        <v>69720</v>
      </c>
      <c r="D158" s="10" t="n">
        <v>6264933</v>
      </c>
      <c r="E158" s="9" t="n">
        <v>31</v>
      </c>
      <c r="F158" s="9" t="n">
        <v>4556</v>
      </c>
      <c r="G158" s="9" t="n">
        <v>4220</v>
      </c>
      <c r="H158" s="9" t="n">
        <f aca="false">WEEKNUM(A158,21)</f>
        <v>19</v>
      </c>
      <c r="I158" s="8" t="n">
        <f aca="false">A158-WEEKDAY(A158,3)</f>
        <v>43955</v>
      </c>
      <c r="J158" s="10" t="n">
        <f aca="false">IFERROR(D158/E158,"")</f>
        <v>202094.612903226</v>
      </c>
      <c r="K158" s="11" t="n">
        <f aca="false">IFERROR(D158/F158,"")</f>
        <v>1375.09503950834</v>
      </c>
    </row>
    <row r="159" customFormat="false" ht="15" hidden="false" customHeight="false" outlineLevel="0" collapsed="false">
      <c r="A159" s="8" t="n">
        <v>43960</v>
      </c>
      <c r="B159" s="9" t="s">
        <v>27</v>
      </c>
      <c r="C159" s="10" t="n">
        <v>32239.5</v>
      </c>
      <c r="D159" s="10" t="n">
        <v>3084892.5</v>
      </c>
      <c r="E159" s="9" t="n">
        <v>21</v>
      </c>
      <c r="F159" s="9" t="n">
        <v>1891</v>
      </c>
      <c r="G159" s="9" t="n">
        <v>1709</v>
      </c>
      <c r="H159" s="9" t="n">
        <f aca="false">WEEKNUM(A159,21)</f>
        <v>19</v>
      </c>
      <c r="I159" s="8" t="n">
        <f aca="false">A159-WEEKDAY(A159,3)</f>
        <v>43955</v>
      </c>
      <c r="J159" s="10" t="n">
        <f aca="false">IFERROR(D159/E159,"")</f>
        <v>146899.642857143</v>
      </c>
      <c r="K159" s="11" t="n">
        <f aca="false">IFERROR(D159/F159,"")</f>
        <v>1631.35510312004</v>
      </c>
    </row>
    <row r="160" customFormat="false" ht="15" hidden="false" customHeight="false" outlineLevel="0" collapsed="false">
      <c r="A160" s="8" t="n">
        <v>43960</v>
      </c>
      <c r="B160" s="9" t="s">
        <v>28</v>
      </c>
      <c r="C160" s="10" t="n">
        <v>31147.5</v>
      </c>
      <c r="D160" s="10" t="n">
        <v>2831019</v>
      </c>
      <c r="E160" s="9" t="n">
        <v>21</v>
      </c>
      <c r="F160" s="9" t="n">
        <v>1735</v>
      </c>
      <c r="G160" s="9" t="n">
        <v>1568</v>
      </c>
      <c r="H160" s="9" t="n">
        <f aca="false">WEEKNUM(A160,21)</f>
        <v>19</v>
      </c>
      <c r="I160" s="8" t="n">
        <f aca="false">A160-WEEKDAY(A160,3)</f>
        <v>43955</v>
      </c>
      <c r="J160" s="10" t="n">
        <f aca="false">IFERROR(D160/E160,"")</f>
        <v>134810.428571429</v>
      </c>
      <c r="K160" s="11" t="n">
        <f aca="false">IFERROR(D160/F160,"")</f>
        <v>1631.71123919308</v>
      </c>
    </row>
    <row r="161" customFormat="false" ht="15" hidden="false" customHeight="false" outlineLevel="0" collapsed="false">
      <c r="A161" s="8" t="n">
        <v>43960</v>
      </c>
      <c r="B161" s="9" t="s">
        <v>29</v>
      </c>
      <c r="C161" s="10" t="n">
        <v>26271</v>
      </c>
      <c r="D161" s="10" t="n">
        <v>2384937</v>
      </c>
      <c r="E161" s="9" t="n">
        <v>19</v>
      </c>
      <c r="F161" s="9" t="n">
        <v>1542</v>
      </c>
      <c r="G161" s="9" t="n">
        <v>1412</v>
      </c>
      <c r="H161" s="9" t="n">
        <f aca="false">WEEKNUM(A161,21)</f>
        <v>19</v>
      </c>
      <c r="I161" s="8" t="n">
        <f aca="false">A161-WEEKDAY(A161,3)</f>
        <v>43955</v>
      </c>
      <c r="J161" s="10" t="n">
        <f aca="false">IFERROR(D161/E161,"")</f>
        <v>125523</v>
      </c>
      <c r="K161" s="11" t="n">
        <f aca="false">IFERROR(D161/F161,"")</f>
        <v>1546.65175097276</v>
      </c>
    </row>
    <row r="162" customFormat="false" ht="15" hidden="false" customHeight="false" outlineLevel="0" collapsed="false">
      <c r="A162" s="8" t="n">
        <v>43960</v>
      </c>
      <c r="B162" s="9" t="s">
        <v>30</v>
      </c>
      <c r="C162" s="10" t="n">
        <v>177976.5</v>
      </c>
      <c r="D162" s="10" t="n">
        <v>18085798.5</v>
      </c>
      <c r="E162" s="9" t="n">
        <v>54</v>
      </c>
      <c r="F162" s="9" t="n">
        <v>11288</v>
      </c>
      <c r="G162" s="9" t="n">
        <v>10492</v>
      </c>
      <c r="H162" s="9" t="n">
        <f aca="false">WEEKNUM(A162,21)</f>
        <v>19</v>
      </c>
      <c r="I162" s="8" t="n">
        <f aca="false">A162-WEEKDAY(A162,3)</f>
        <v>43955</v>
      </c>
      <c r="J162" s="10" t="n">
        <f aca="false">IFERROR(D162/E162,"")</f>
        <v>334922.194444444</v>
      </c>
      <c r="K162" s="11" t="n">
        <f aca="false">IFERROR(D162/F162,"")</f>
        <v>1602.21460843373</v>
      </c>
    </row>
    <row r="163" customFormat="false" ht="15" hidden="false" customHeight="false" outlineLevel="0" collapsed="false">
      <c r="A163" s="8" t="n">
        <v>43960</v>
      </c>
      <c r="B163" s="9" t="s">
        <v>31</v>
      </c>
      <c r="C163" s="10" t="n">
        <v>188319</v>
      </c>
      <c r="D163" s="10" t="n">
        <v>19218631.5</v>
      </c>
      <c r="E163" s="9" t="n">
        <v>59</v>
      </c>
      <c r="F163" s="9" t="n">
        <v>12016</v>
      </c>
      <c r="G163" s="9" t="n">
        <v>11137</v>
      </c>
      <c r="H163" s="9" t="n">
        <f aca="false">WEEKNUM(A163,21)</f>
        <v>19</v>
      </c>
      <c r="I163" s="8" t="n">
        <f aca="false">A163-WEEKDAY(A163,3)</f>
        <v>43955</v>
      </c>
      <c r="J163" s="10" t="n">
        <f aca="false">IFERROR(D163/E163,"")</f>
        <v>325739.516949153</v>
      </c>
      <c r="K163" s="11" t="n">
        <f aca="false">IFERROR(D163/F163,"")</f>
        <v>1599.42006491345</v>
      </c>
    </row>
    <row r="164" customFormat="false" ht="15" hidden="false" customHeight="false" outlineLevel="0" collapsed="false">
      <c r="A164" s="8" t="n">
        <v>43960</v>
      </c>
      <c r="B164" s="9" t="s">
        <v>32</v>
      </c>
      <c r="C164" s="10" t="n">
        <v>32079</v>
      </c>
      <c r="D164" s="10" t="n">
        <v>2902167</v>
      </c>
      <c r="E164" s="9" t="n">
        <v>19</v>
      </c>
      <c r="F164" s="9" t="n">
        <v>1851</v>
      </c>
      <c r="G164" s="9" t="n">
        <v>1635</v>
      </c>
      <c r="H164" s="9" t="n">
        <f aca="false">WEEKNUM(A164,21)</f>
        <v>19</v>
      </c>
      <c r="I164" s="8" t="n">
        <f aca="false">A164-WEEKDAY(A164,3)</f>
        <v>43955</v>
      </c>
      <c r="J164" s="10" t="n">
        <f aca="false">IFERROR(D164/E164,"")</f>
        <v>152745.631578947</v>
      </c>
      <c r="K164" s="11" t="n">
        <f aca="false">IFERROR(D164/F164,"")</f>
        <v>1567.89141004862</v>
      </c>
    </row>
    <row r="165" customFormat="false" ht="15" hidden="false" customHeight="false" outlineLevel="0" collapsed="false">
      <c r="A165" s="8" t="n">
        <v>43960</v>
      </c>
      <c r="B165" s="9" t="s">
        <v>33</v>
      </c>
      <c r="C165" s="10" t="n">
        <v>11745</v>
      </c>
      <c r="D165" s="10" t="n">
        <v>955801.5</v>
      </c>
      <c r="E165" s="9" t="n">
        <v>15</v>
      </c>
      <c r="F165" s="9" t="n">
        <v>654</v>
      </c>
      <c r="G165" s="9" t="n">
        <v>570</v>
      </c>
      <c r="H165" s="9" t="n">
        <f aca="false">WEEKNUM(A165,21)</f>
        <v>19</v>
      </c>
      <c r="I165" s="8" t="n">
        <f aca="false">A165-WEEKDAY(A165,3)</f>
        <v>43955</v>
      </c>
      <c r="J165" s="10" t="n">
        <f aca="false">IFERROR(D165/E165,"")</f>
        <v>63720.1</v>
      </c>
      <c r="K165" s="11" t="n">
        <f aca="false">IFERROR(D165/F165,"")</f>
        <v>1461.47018348624</v>
      </c>
    </row>
    <row r="166" customFormat="false" ht="15" hidden="false" customHeight="false" outlineLevel="0" collapsed="false">
      <c r="A166" s="8" t="n">
        <v>43960</v>
      </c>
      <c r="B166" s="9" t="s">
        <v>34</v>
      </c>
      <c r="C166" s="10" t="n">
        <v>13948.5</v>
      </c>
      <c r="D166" s="10" t="n">
        <v>1222932</v>
      </c>
      <c r="E166" s="9" t="n">
        <v>15</v>
      </c>
      <c r="F166" s="9" t="n">
        <v>849</v>
      </c>
      <c r="G166" s="9" t="n">
        <v>740</v>
      </c>
      <c r="H166" s="9" t="n">
        <f aca="false">WEEKNUM(A166,21)</f>
        <v>19</v>
      </c>
      <c r="I166" s="8" t="n">
        <f aca="false">A166-WEEKDAY(A166,3)</f>
        <v>43955</v>
      </c>
      <c r="J166" s="10" t="n">
        <f aca="false">IFERROR(D166/E166,"")</f>
        <v>81528.8</v>
      </c>
      <c r="K166" s="11" t="n">
        <f aca="false">IFERROR(D166/F166,"")</f>
        <v>1440.43816254417</v>
      </c>
    </row>
    <row r="167" customFormat="false" ht="15" hidden="false" customHeight="false" outlineLevel="0" collapsed="false">
      <c r="A167" s="8" t="n">
        <v>43960</v>
      </c>
      <c r="B167" s="9" t="s">
        <v>38</v>
      </c>
      <c r="C167" s="10" t="n">
        <v>12037.5</v>
      </c>
      <c r="D167" s="10" t="n">
        <v>1081216.5</v>
      </c>
      <c r="E167" s="9" t="n">
        <v>15</v>
      </c>
      <c r="F167" s="9" t="n">
        <v>623</v>
      </c>
      <c r="G167" s="9" t="n">
        <v>535</v>
      </c>
      <c r="H167" s="9" t="n">
        <f aca="false">WEEKNUM(A167,21)</f>
        <v>19</v>
      </c>
      <c r="I167" s="8" t="n">
        <f aca="false">A167-WEEKDAY(A167,3)</f>
        <v>43955</v>
      </c>
      <c r="J167" s="10" t="n">
        <f aca="false">IFERROR(D167/E167,"")</f>
        <v>72081.1</v>
      </c>
      <c r="K167" s="11" t="n">
        <f aca="false">IFERROR(D167/F167,"")</f>
        <v>1735.5</v>
      </c>
    </row>
    <row r="168" customFormat="false" ht="15" hidden="false" customHeight="false" outlineLevel="0" collapsed="false">
      <c r="A168" s="8" t="n">
        <v>43960</v>
      </c>
      <c r="B168" s="9" t="s">
        <v>35</v>
      </c>
      <c r="C168" s="10" t="n">
        <v>359214</v>
      </c>
      <c r="D168" s="10" t="n">
        <v>38693427</v>
      </c>
      <c r="E168" s="9" t="n">
        <v>125</v>
      </c>
      <c r="F168" s="9" t="n">
        <v>20132</v>
      </c>
      <c r="G168" s="9" t="n">
        <v>18617</v>
      </c>
      <c r="H168" s="9" t="n">
        <f aca="false">WEEKNUM(A168,21)</f>
        <v>19</v>
      </c>
      <c r="I168" s="8" t="n">
        <f aca="false">A168-WEEKDAY(A168,3)</f>
        <v>43955</v>
      </c>
      <c r="J168" s="10" t="n">
        <f aca="false">IFERROR(D168/E168,"")</f>
        <v>309547.416</v>
      </c>
      <c r="K168" s="11" t="n">
        <f aca="false">IFERROR(D168/F168,"")</f>
        <v>1921.98624081065</v>
      </c>
    </row>
    <row r="169" customFormat="false" ht="15" hidden="false" customHeight="false" outlineLevel="0" collapsed="false">
      <c r="A169" s="8" t="n">
        <v>43960</v>
      </c>
      <c r="B169" s="9" t="s">
        <v>36</v>
      </c>
      <c r="C169" s="10" t="n">
        <v>285972</v>
      </c>
      <c r="D169" s="10" t="n">
        <v>29768199</v>
      </c>
      <c r="E169" s="9" t="n">
        <v>129</v>
      </c>
      <c r="F169" s="9" t="n">
        <v>16420</v>
      </c>
      <c r="G169" s="9" t="n">
        <v>15169</v>
      </c>
      <c r="H169" s="9" t="n">
        <f aca="false">WEEKNUM(A169,21)</f>
        <v>19</v>
      </c>
      <c r="I169" s="8" t="n">
        <f aca="false">A169-WEEKDAY(A169,3)</f>
        <v>43955</v>
      </c>
      <c r="J169" s="10" t="n">
        <f aca="false">IFERROR(D169/E169,"")</f>
        <v>230761.23255814</v>
      </c>
      <c r="K169" s="11" t="n">
        <f aca="false">IFERROR(D169/F169,"")</f>
        <v>1812.92320341048</v>
      </c>
    </row>
    <row r="170" customFormat="false" ht="15" hidden="false" customHeight="false" outlineLevel="0" collapsed="false">
      <c r="A170" s="8" t="n">
        <v>43960</v>
      </c>
      <c r="B170" s="9" t="s">
        <v>37</v>
      </c>
      <c r="C170" s="10" t="n">
        <v>13216.5</v>
      </c>
      <c r="D170" s="10" t="n">
        <v>1046400</v>
      </c>
      <c r="E170" s="9" t="n">
        <v>10</v>
      </c>
      <c r="F170" s="9" t="n">
        <v>644</v>
      </c>
      <c r="G170" s="9" t="n">
        <v>559</v>
      </c>
      <c r="H170" s="9" t="n">
        <f aca="false">WEEKNUM(A170,21)</f>
        <v>19</v>
      </c>
      <c r="I170" s="8" t="n">
        <f aca="false">A170-WEEKDAY(A170,3)</f>
        <v>43955</v>
      </c>
      <c r="J170" s="10" t="n">
        <f aca="false">IFERROR(D170/E170,"")</f>
        <v>104640</v>
      </c>
      <c r="K170" s="11" t="n">
        <f aca="false">IFERROR(D170/F170,"")</f>
        <v>1624.84472049689</v>
      </c>
    </row>
    <row r="171" customFormat="false" ht="15" hidden="false" customHeight="false" outlineLevel="0" collapsed="false">
      <c r="A171" s="8" t="n">
        <v>43961</v>
      </c>
      <c r="B171" s="9" t="s">
        <v>25</v>
      </c>
      <c r="C171" s="10" t="n">
        <v>88311</v>
      </c>
      <c r="D171" s="10" t="n">
        <v>7726069.5</v>
      </c>
      <c r="E171" s="9" t="n">
        <v>36</v>
      </c>
      <c r="F171" s="9" t="n">
        <v>5746</v>
      </c>
      <c r="G171" s="9" t="n">
        <v>5277</v>
      </c>
      <c r="H171" s="9" t="n">
        <f aca="false">WEEKNUM(A171,21)</f>
        <v>19</v>
      </c>
      <c r="I171" s="8" t="n">
        <f aca="false">A171-WEEKDAY(A171,3)</f>
        <v>43955</v>
      </c>
      <c r="J171" s="10" t="n">
        <f aca="false">IFERROR(D171/E171,"")</f>
        <v>214613.041666667</v>
      </c>
      <c r="K171" s="11" t="n">
        <f aca="false">IFERROR(D171/F171,"")</f>
        <v>1344.59963452837</v>
      </c>
    </row>
    <row r="172" customFormat="false" ht="15" hidden="false" customHeight="false" outlineLevel="0" collapsed="false">
      <c r="A172" s="8" t="n">
        <v>43961</v>
      </c>
      <c r="B172" s="9" t="s">
        <v>26</v>
      </c>
      <c r="C172" s="10" t="n">
        <v>84132</v>
      </c>
      <c r="D172" s="10" t="n">
        <v>7483194</v>
      </c>
      <c r="E172" s="9" t="n">
        <v>31</v>
      </c>
      <c r="F172" s="9" t="n">
        <v>5495</v>
      </c>
      <c r="G172" s="9" t="n">
        <v>5093</v>
      </c>
      <c r="H172" s="9" t="n">
        <f aca="false">WEEKNUM(A172,21)</f>
        <v>19</v>
      </c>
      <c r="I172" s="8" t="n">
        <f aca="false">A172-WEEKDAY(A172,3)</f>
        <v>43955</v>
      </c>
      <c r="J172" s="10" t="n">
        <f aca="false">IFERROR(D172/E172,"")</f>
        <v>241393.35483871</v>
      </c>
      <c r="K172" s="11" t="n">
        <f aca="false">IFERROR(D172/F172,"")</f>
        <v>1361.81874431301</v>
      </c>
    </row>
    <row r="173" customFormat="false" ht="15" hidden="false" customHeight="false" outlineLevel="0" collapsed="false">
      <c r="A173" s="8" t="n">
        <v>43961</v>
      </c>
      <c r="B173" s="9" t="s">
        <v>27</v>
      </c>
      <c r="C173" s="10" t="n">
        <v>37489.5</v>
      </c>
      <c r="D173" s="10" t="n">
        <v>3549097.5</v>
      </c>
      <c r="E173" s="9" t="n">
        <v>21</v>
      </c>
      <c r="F173" s="9" t="n">
        <v>2120</v>
      </c>
      <c r="G173" s="9" t="n">
        <v>1921</v>
      </c>
      <c r="H173" s="9" t="n">
        <f aca="false">WEEKNUM(A173,21)</f>
        <v>19</v>
      </c>
      <c r="I173" s="8" t="n">
        <f aca="false">A173-WEEKDAY(A173,3)</f>
        <v>43955</v>
      </c>
      <c r="J173" s="10" t="n">
        <f aca="false">IFERROR(D173/E173,"")</f>
        <v>169004.642857143</v>
      </c>
      <c r="K173" s="11" t="n">
        <f aca="false">IFERROR(D173/F173,"")</f>
        <v>1674.10259433962</v>
      </c>
    </row>
    <row r="174" customFormat="false" ht="15" hidden="false" customHeight="false" outlineLevel="0" collapsed="false">
      <c r="A174" s="8" t="n">
        <v>43961</v>
      </c>
      <c r="B174" s="9" t="s">
        <v>28</v>
      </c>
      <c r="C174" s="10" t="n">
        <v>36619.5</v>
      </c>
      <c r="D174" s="10" t="n">
        <v>3312967.5</v>
      </c>
      <c r="E174" s="9" t="n">
        <v>21</v>
      </c>
      <c r="F174" s="9" t="n">
        <v>2016</v>
      </c>
      <c r="G174" s="9" t="n">
        <v>1846</v>
      </c>
      <c r="H174" s="9" t="n">
        <f aca="false">WEEKNUM(A174,21)</f>
        <v>19</v>
      </c>
      <c r="I174" s="8" t="n">
        <f aca="false">A174-WEEKDAY(A174,3)</f>
        <v>43955</v>
      </c>
      <c r="J174" s="10" t="n">
        <f aca="false">IFERROR(D174/E174,"")</f>
        <v>157760.357142857</v>
      </c>
      <c r="K174" s="11" t="n">
        <f aca="false">IFERROR(D174/F174,"")</f>
        <v>1643.33705357143</v>
      </c>
    </row>
    <row r="175" customFormat="false" ht="15" hidden="false" customHeight="false" outlineLevel="0" collapsed="false">
      <c r="A175" s="8" t="n">
        <v>43961</v>
      </c>
      <c r="B175" s="9" t="s">
        <v>29</v>
      </c>
      <c r="C175" s="10" t="n">
        <v>31224</v>
      </c>
      <c r="D175" s="10" t="n">
        <v>2767270.5</v>
      </c>
      <c r="E175" s="9" t="n">
        <v>19</v>
      </c>
      <c r="F175" s="9" t="n">
        <v>1836</v>
      </c>
      <c r="G175" s="9" t="n">
        <v>1680</v>
      </c>
      <c r="H175" s="9" t="n">
        <f aca="false">WEEKNUM(A175,21)</f>
        <v>19</v>
      </c>
      <c r="I175" s="8" t="n">
        <f aca="false">A175-WEEKDAY(A175,3)</f>
        <v>43955</v>
      </c>
      <c r="J175" s="10" t="n">
        <f aca="false">IFERROR(D175/E175,"")</f>
        <v>145645.815789474</v>
      </c>
      <c r="K175" s="11" t="n">
        <f aca="false">IFERROR(D175/F175,"")</f>
        <v>1507.22794117647</v>
      </c>
    </row>
    <row r="176" customFormat="false" ht="15" hidden="false" customHeight="false" outlineLevel="0" collapsed="false">
      <c r="A176" s="8" t="n">
        <v>43961</v>
      </c>
      <c r="B176" s="9" t="s">
        <v>30</v>
      </c>
      <c r="C176" s="10" t="n">
        <v>231559.5</v>
      </c>
      <c r="D176" s="10" t="n">
        <v>23443725</v>
      </c>
      <c r="E176" s="9" t="n">
        <v>54</v>
      </c>
      <c r="F176" s="9" t="n">
        <v>13832</v>
      </c>
      <c r="G176" s="9" t="n">
        <v>12864</v>
      </c>
      <c r="H176" s="9" t="n">
        <f aca="false">WEEKNUM(A176,21)</f>
        <v>19</v>
      </c>
      <c r="I176" s="8" t="n">
        <f aca="false">A176-WEEKDAY(A176,3)</f>
        <v>43955</v>
      </c>
      <c r="J176" s="10" t="n">
        <f aca="false">IFERROR(D176/E176,"")</f>
        <v>434143.055555556</v>
      </c>
      <c r="K176" s="11" t="n">
        <f aca="false">IFERROR(D176/F176,"")</f>
        <v>1694.89047137073</v>
      </c>
    </row>
    <row r="177" customFormat="false" ht="15" hidden="false" customHeight="false" outlineLevel="0" collapsed="false">
      <c r="A177" s="8" t="n">
        <v>43961</v>
      </c>
      <c r="B177" s="9" t="s">
        <v>31</v>
      </c>
      <c r="C177" s="10" t="n">
        <v>243825</v>
      </c>
      <c r="D177" s="10" t="n">
        <v>24890404.5</v>
      </c>
      <c r="E177" s="9" t="n">
        <v>59</v>
      </c>
      <c r="F177" s="9" t="n">
        <v>14569</v>
      </c>
      <c r="G177" s="9" t="n">
        <v>13566</v>
      </c>
      <c r="H177" s="9" t="n">
        <f aca="false">WEEKNUM(A177,21)</f>
        <v>19</v>
      </c>
      <c r="I177" s="8" t="n">
        <f aca="false">A177-WEEKDAY(A177,3)</f>
        <v>43955</v>
      </c>
      <c r="J177" s="10" t="n">
        <f aca="false">IFERROR(D177/E177,"")</f>
        <v>421871.262711864</v>
      </c>
      <c r="K177" s="11" t="n">
        <f aca="false">IFERROR(D177/F177,"")</f>
        <v>1708.44975633194</v>
      </c>
    </row>
    <row r="178" customFormat="false" ht="15" hidden="false" customHeight="false" outlineLevel="0" collapsed="false">
      <c r="A178" s="8" t="n">
        <v>43961</v>
      </c>
      <c r="B178" s="9" t="s">
        <v>32</v>
      </c>
      <c r="C178" s="10" t="n">
        <v>31399.5</v>
      </c>
      <c r="D178" s="10" t="n">
        <v>2862298.5</v>
      </c>
      <c r="E178" s="9" t="n">
        <v>19</v>
      </c>
      <c r="F178" s="9" t="n">
        <v>1848</v>
      </c>
      <c r="G178" s="9" t="n">
        <v>1649</v>
      </c>
      <c r="H178" s="9" t="n">
        <f aca="false">WEEKNUM(A178,21)</f>
        <v>19</v>
      </c>
      <c r="I178" s="8" t="n">
        <f aca="false">A178-WEEKDAY(A178,3)</f>
        <v>43955</v>
      </c>
      <c r="J178" s="10" t="n">
        <f aca="false">IFERROR(D178/E178,"")</f>
        <v>150647.289473684</v>
      </c>
      <c r="K178" s="11" t="n">
        <f aca="false">IFERROR(D178/F178,"")</f>
        <v>1548.86282467532</v>
      </c>
    </row>
    <row r="179" customFormat="false" ht="15" hidden="false" customHeight="false" outlineLevel="0" collapsed="false">
      <c r="A179" s="8" t="n">
        <v>43961</v>
      </c>
      <c r="B179" s="9" t="s">
        <v>33</v>
      </c>
      <c r="C179" s="10" t="n">
        <v>14566.5</v>
      </c>
      <c r="D179" s="10" t="n">
        <v>1216557</v>
      </c>
      <c r="E179" s="9" t="n">
        <v>15</v>
      </c>
      <c r="F179" s="9" t="n">
        <v>792</v>
      </c>
      <c r="G179" s="9" t="n">
        <v>695</v>
      </c>
      <c r="H179" s="9" t="n">
        <f aca="false">WEEKNUM(A179,21)</f>
        <v>19</v>
      </c>
      <c r="I179" s="8" t="n">
        <f aca="false">A179-WEEKDAY(A179,3)</f>
        <v>43955</v>
      </c>
      <c r="J179" s="10" t="n">
        <f aca="false">IFERROR(D179/E179,"")</f>
        <v>81103.8</v>
      </c>
      <c r="K179" s="11" t="n">
        <f aca="false">IFERROR(D179/F179,"")</f>
        <v>1536.05681818182</v>
      </c>
    </row>
    <row r="180" customFormat="false" ht="15" hidden="false" customHeight="false" outlineLevel="0" collapsed="false">
      <c r="A180" s="8" t="n">
        <v>43961</v>
      </c>
      <c r="B180" s="9" t="s">
        <v>34</v>
      </c>
      <c r="C180" s="10" t="n">
        <v>16435.5</v>
      </c>
      <c r="D180" s="10" t="n">
        <v>1471537.5</v>
      </c>
      <c r="E180" s="9" t="n">
        <v>15</v>
      </c>
      <c r="F180" s="9" t="n">
        <v>950</v>
      </c>
      <c r="G180" s="9" t="n">
        <v>848</v>
      </c>
      <c r="H180" s="9" t="n">
        <f aca="false">WEEKNUM(A180,21)</f>
        <v>19</v>
      </c>
      <c r="I180" s="8" t="n">
        <f aca="false">A180-WEEKDAY(A180,3)</f>
        <v>43955</v>
      </c>
      <c r="J180" s="10" t="n">
        <f aca="false">IFERROR(D180/E180,"")</f>
        <v>98102.5</v>
      </c>
      <c r="K180" s="11" t="n">
        <f aca="false">IFERROR(D180/F180,"")</f>
        <v>1548.98684210526</v>
      </c>
    </row>
    <row r="181" customFormat="false" ht="15" hidden="false" customHeight="false" outlineLevel="0" collapsed="false">
      <c r="A181" s="8" t="n">
        <v>43961</v>
      </c>
      <c r="B181" s="9" t="s">
        <v>38</v>
      </c>
      <c r="C181" s="10" t="n">
        <v>13440</v>
      </c>
      <c r="D181" s="10" t="n">
        <v>1198285.5</v>
      </c>
      <c r="E181" s="9" t="n">
        <v>15</v>
      </c>
      <c r="F181" s="9" t="n">
        <v>706</v>
      </c>
      <c r="G181" s="9" t="n">
        <v>608</v>
      </c>
      <c r="H181" s="9" t="n">
        <f aca="false">WEEKNUM(A181,21)</f>
        <v>19</v>
      </c>
      <c r="I181" s="8" t="n">
        <f aca="false">A181-WEEKDAY(A181,3)</f>
        <v>43955</v>
      </c>
      <c r="J181" s="10" t="n">
        <f aca="false">IFERROR(D181/E181,"")</f>
        <v>79885.7</v>
      </c>
      <c r="K181" s="11" t="n">
        <f aca="false">IFERROR(D181/F181,"")</f>
        <v>1697.28824362606</v>
      </c>
    </row>
    <row r="182" customFormat="false" ht="15" hidden="false" customHeight="false" outlineLevel="0" collapsed="false">
      <c r="A182" s="8" t="n">
        <v>43961</v>
      </c>
      <c r="B182" s="9" t="s">
        <v>35</v>
      </c>
      <c r="C182" s="10" t="n">
        <v>368649</v>
      </c>
      <c r="D182" s="10" t="n">
        <v>39010875</v>
      </c>
      <c r="E182" s="9" t="n">
        <v>125</v>
      </c>
      <c r="F182" s="9" t="n">
        <v>20368</v>
      </c>
      <c r="G182" s="9" t="n">
        <v>18884</v>
      </c>
      <c r="H182" s="9" t="n">
        <f aca="false">WEEKNUM(A182,21)</f>
        <v>19</v>
      </c>
      <c r="I182" s="8" t="n">
        <f aca="false">A182-WEEKDAY(A182,3)</f>
        <v>43955</v>
      </c>
      <c r="J182" s="10" t="n">
        <f aca="false">IFERROR(D182/E182,"")</f>
        <v>312087</v>
      </c>
      <c r="K182" s="11" t="n">
        <f aca="false">IFERROR(D182/F182,"")</f>
        <v>1915.30218970935</v>
      </c>
    </row>
    <row r="183" customFormat="false" ht="15" hidden="false" customHeight="false" outlineLevel="0" collapsed="false">
      <c r="A183" s="8" t="n">
        <v>43961</v>
      </c>
      <c r="B183" s="9" t="s">
        <v>36</v>
      </c>
      <c r="C183" s="10" t="n">
        <v>287206.5</v>
      </c>
      <c r="D183" s="10" t="n">
        <v>29536176.10605</v>
      </c>
      <c r="E183" s="9" t="n">
        <v>129</v>
      </c>
      <c r="F183" s="9" t="n">
        <v>16437</v>
      </c>
      <c r="G183" s="9" t="n">
        <v>15285</v>
      </c>
      <c r="H183" s="9" t="n">
        <f aca="false">WEEKNUM(A183,21)</f>
        <v>19</v>
      </c>
      <c r="I183" s="8" t="n">
        <f aca="false">A183-WEEKDAY(A183,3)</f>
        <v>43955</v>
      </c>
      <c r="J183" s="10" t="n">
        <f aca="false">IFERROR(D183/E183,"")</f>
        <v>228962.605473256</v>
      </c>
      <c r="K183" s="11" t="n">
        <f aca="false">IFERROR(D183/F183,"")</f>
        <v>1796.93229336558</v>
      </c>
    </row>
    <row r="184" customFormat="false" ht="15" hidden="false" customHeight="false" outlineLevel="0" collapsed="false">
      <c r="A184" s="8" t="n">
        <v>43961</v>
      </c>
      <c r="B184" s="9" t="s">
        <v>37</v>
      </c>
      <c r="C184" s="10" t="n">
        <v>12918</v>
      </c>
      <c r="D184" s="10" t="n">
        <v>1004788.5</v>
      </c>
      <c r="E184" s="9" t="n">
        <v>10</v>
      </c>
      <c r="F184" s="9" t="n">
        <v>642</v>
      </c>
      <c r="G184" s="9" t="n">
        <v>556</v>
      </c>
      <c r="H184" s="9" t="n">
        <f aca="false">WEEKNUM(A184,21)</f>
        <v>19</v>
      </c>
      <c r="I184" s="8" t="n">
        <f aca="false">A184-WEEKDAY(A184,3)</f>
        <v>43955</v>
      </c>
      <c r="J184" s="10" t="n">
        <f aca="false">IFERROR(D184/E184,"")</f>
        <v>100478.85</v>
      </c>
      <c r="K184" s="11" t="n">
        <f aca="false">IFERROR(D184/F184,"")</f>
        <v>1565.09112149533</v>
      </c>
    </row>
    <row r="185" customFormat="false" ht="15" hidden="false" customHeight="false" outlineLevel="0" collapsed="false">
      <c r="A185" s="8" t="n">
        <v>43962</v>
      </c>
      <c r="B185" s="9" t="s">
        <v>25</v>
      </c>
      <c r="C185" s="10" t="n">
        <v>59574</v>
      </c>
      <c r="D185" s="10" t="n">
        <v>5178169.5</v>
      </c>
      <c r="E185" s="9" t="n">
        <v>36</v>
      </c>
      <c r="F185" s="9" t="n">
        <v>4150</v>
      </c>
      <c r="G185" s="9" t="n">
        <v>3838</v>
      </c>
      <c r="H185" s="9" t="n">
        <f aca="false">WEEKNUM(A185,21)</f>
        <v>20</v>
      </c>
      <c r="I185" s="8" t="n">
        <f aca="false">A185-WEEKDAY(A185,3)</f>
        <v>43962</v>
      </c>
      <c r="J185" s="10" t="n">
        <f aca="false">IFERROR(D185/E185,"")</f>
        <v>143838.041666667</v>
      </c>
      <c r="K185" s="11" t="n">
        <f aca="false">IFERROR(D185/F185,"")</f>
        <v>1247.75168674699</v>
      </c>
    </row>
    <row r="186" customFormat="false" ht="15" hidden="false" customHeight="false" outlineLevel="0" collapsed="false">
      <c r="A186" s="8" t="n">
        <v>43962</v>
      </c>
      <c r="B186" s="9" t="s">
        <v>26</v>
      </c>
      <c r="C186" s="10" t="n">
        <v>72220.5</v>
      </c>
      <c r="D186" s="10" t="n">
        <v>6398719.5</v>
      </c>
      <c r="E186" s="9" t="n">
        <v>31</v>
      </c>
      <c r="F186" s="9" t="n">
        <v>4826</v>
      </c>
      <c r="G186" s="9" t="n">
        <v>4483</v>
      </c>
      <c r="H186" s="9" t="n">
        <f aca="false">WEEKNUM(A186,21)</f>
        <v>20</v>
      </c>
      <c r="I186" s="8" t="n">
        <f aca="false">A186-WEEKDAY(A186,3)</f>
        <v>43962</v>
      </c>
      <c r="J186" s="10" t="n">
        <f aca="false">IFERROR(D186/E186,"")</f>
        <v>206410.306451613</v>
      </c>
      <c r="K186" s="11" t="n">
        <f aca="false">IFERROR(D186/F186,"")</f>
        <v>1325.88468711148</v>
      </c>
    </row>
    <row r="187" customFormat="false" ht="15" hidden="false" customHeight="false" outlineLevel="0" collapsed="false">
      <c r="A187" s="8" t="n">
        <v>43962</v>
      </c>
      <c r="B187" s="9" t="s">
        <v>27</v>
      </c>
      <c r="C187" s="10" t="n">
        <v>32733</v>
      </c>
      <c r="D187" s="10" t="n">
        <v>3079630.5</v>
      </c>
      <c r="E187" s="9" t="n">
        <v>21</v>
      </c>
      <c r="F187" s="9" t="n">
        <v>1916</v>
      </c>
      <c r="G187" s="9" t="n">
        <v>1733</v>
      </c>
      <c r="H187" s="9" t="n">
        <f aca="false">WEEKNUM(A187,21)</f>
        <v>20</v>
      </c>
      <c r="I187" s="8" t="n">
        <f aca="false">A187-WEEKDAY(A187,3)</f>
        <v>43962</v>
      </c>
      <c r="J187" s="10" t="n">
        <f aca="false">IFERROR(D187/E187,"")</f>
        <v>146649.071428571</v>
      </c>
      <c r="K187" s="11" t="n">
        <f aca="false">IFERROR(D187/F187,"")</f>
        <v>1607.32280793319</v>
      </c>
    </row>
    <row r="188" customFormat="false" ht="15" hidden="false" customHeight="false" outlineLevel="0" collapsed="false">
      <c r="A188" s="8" t="n">
        <v>43962</v>
      </c>
      <c r="B188" s="9" t="s">
        <v>28</v>
      </c>
      <c r="C188" s="10" t="n">
        <v>27187.5</v>
      </c>
      <c r="D188" s="10" t="n">
        <v>2479396.5</v>
      </c>
      <c r="E188" s="9" t="n">
        <v>21</v>
      </c>
      <c r="F188" s="9" t="n">
        <v>1597</v>
      </c>
      <c r="G188" s="9" t="n">
        <v>1457</v>
      </c>
      <c r="H188" s="9" t="n">
        <f aca="false">WEEKNUM(A188,21)</f>
        <v>20</v>
      </c>
      <c r="I188" s="8" t="n">
        <f aca="false">A188-WEEKDAY(A188,3)</f>
        <v>43962</v>
      </c>
      <c r="J188" s="10" t="n">
        <f aca="false">IFERROR(D188/E188,"")</f>
        <v>118066.5</v>
      </c>
      <c r="K188" s="11" t="n">
        <f aca="false">IFERROR(D188/F188,"")</f>
        <v>1552.53381340013</v>
      </c>
    </row>
    <row r="189" customFormat="false" ht="15" hidden="false" customHeight="false" outlineLevel="0" collapsed="false">
      <c r="A189" s="8" t="n">
        <v>43962</v>
      </c>
      <c r="B189" s="9" t="s">
        <v>29</v>
      </c>
      <c r="C189" s="10" t="n">
        <v>23629.5</v>
      </c>
      <c r="D189" s="10" t="n">
        <v>2164365</v>
      </c>
      <c r="E189" s="9" t="n">
        <v>19</v>
      </c>
      <c r="F189" s="9" t="n">
        <v>1527</v>
      </c>
      <c r="G189" s="9" t="n">
        <v>1389</v>
      </c>
      <c r="H189" s="9" t="n">
        <f aca="false">WEEKNUM(A189,21)</f>
        <v>20</v>
      </c>
      <c r="I189" s="8" t="n">
        <f aca="false">A189-WEEKDAY(A189,3)</f>
        <v>43962</v>
      </c>
      <c r="J189" s="10" t="n">
        <f aca="false">IFERROR(D189/E189,"")</f>
        <v>113913.947368421</v>
      </c>
      <c r="K189" s="11" t="n">
        <f aca="false">IFERROR(D189/F189,"")</f>
        <v>1417.39685658153</v>
      </c>
    </row>
    <row r="190" customFormat="false" ht="15" hidden="false" customHeight="false" outlineLevel="0" collapsed="false">
      <c r="A190" s="8" t="n">
        <v>43962</v>
      </c>
      <c r="B190" s="9" t="s">
        <v>30</v>
      </c>
      <c r="C190" s="10" t="n">
        <v>166948.5</v>
      </c>
      <c r="D190" s="10" t="n">
        <v>16971231</v>
      </c>
      <c r="E190" s="9" t="n">
        <v>54</v>
      </c>
      <c r="F190" s="9" t="n">
        <v>10570</v>
      </c>
      <c r="G190" s="9" t="n">
        <v>9926</v>
      </c>
      <c r="H190" s="9" t="n">
        <f aca="false">WEEKNUM(A190,21)</f>
        <v>20</v>
      </c>
      <c r="I190" s="8" t="n">
        <f aca="false">A190-WEEKDAY(A190,3)</f>
        <v>43962</v>
      </c>
      <c r="J190" s="10" t="n">
        <f aca="false">IFERROR(D190/E190,"")</f>
        <v>314282.055555556</v>
      </c>
      <c r="K190" s="11" t="n">
        <f aca="false">IFERROR(D190/F190,"")</f>
        <v>1605.6036896878</v>
      </c>
    </row>
    <row r="191" customFormat="false" ht="15" hidden="false" customHeight="false" outlineLevel="0" collapsed="false">
      <c r="A191" s="8" t="n">
        <v>43962</v>
      </c>
      <c r="B191" s="9" t="s">
        <v>31</v>
      </c>
      <c r="C191" s="10" t="n">
        <v>175293</v>
      </c>
      <c r="D191" s="10" t="n">
        <v>17919144</v>
      </c>
      <c r="E191" s="9" t="n">
        <v>60</v>
      </c>
      <c r="F191" s="9" t="n">
        <v>11100</v>
      </c>
      <c r="G191" s="9" t="n">
        <v>10407</v>
      </c>
      <c r="H191" s="9" t="n">
        <f aca="false">WEEKNUM(A191,21)</f>
        <v>20</v>
      </c>
      <c r="I191" s="8" t="n">
        <f aca="false">A191-WEEKDAY(A191,3)</f>
        <v>43962</v>
      </c>
      <c r="J191" s="10" t="n">
        <f aca="false">IFERROR(D191/E191,"")</f>
        <v>298652.4</v>
      </c>
      <c r="K191" s="11" t="n">
        <f aca="false">IFERROR(D191/F191,"")</f>
        <v>1614.3372972973</v>
      </c>
    </row>
    <row r="192" customFormat="false" ht="15" hidden="false" customHeight="false" outlineLevel="0" collapsed="false">
      <c r="A192" s="8" t="n">
        <v>43962</v>
      </c>
      <c r="B192" s="9" t="s">
        <v>32</v>
      </c>
      <c r="C192" s="10" t="n">
        <v>42397.5</v>
      </c>
      <c r="D192" s="10" t="n">
        <v>3911979</v>
      </c>
      <c r="E192" s="9" t="n">
        <v>19</v>
      </c>
      <c r="F192" s="9" t="n">
        <v>2530</v>
      </c>
      <c r="G192" s="9" t="n">
        <v>2270</v>
      </c>
      <c r="H192" s="9" t="n">
        <f aca="false">WEEKNUM(A192,21)</f>
        <v>20</v>
      </c>
      <c r="I192" s="8" t="n">
        <f aca="false">A192-WEEKDAY(A192,3)</f>
        <v>43962</v>
      </c>
      <c r="J192" s="10" t="n">
        <f aca="false">IFERROR(D192/E192,"")</f>
        <v>205893.631578947</v>
      </c>
      <c r="K192" s="11" t="n">
        <f aca="false">IFERROR(D192/F192,"")</f>
        <v>1546.23675889328</v>
      </c>
    </row>
    <row r="193" customFormat="false" ht="15" hidden="false" customHeight="false" outlineLevel="0" collapsed="false">
      <c r="A193" s="8" t="n">
        <v>43962</v>
      </c>
      <c r="B193" s="9" t="s">
        <v>33</v>
      </c>
      <c r="C193" s="10" t="n">
        <v>10941</v>
      </c>
      <c r="D193" s="10" t="n">
        <v>880356</v>
      </c>
      <c r="E193" s="9" t="n">
        <v>15</v>
      </c>
      <c r="F193" s="9" t="n">
        <v>654</v>
      </c>
      <c r="G193" s="9" t="n">
        <v>564</v>
      </c>
      <c r="H193" s="9" t="n">
        <f aca="false">WEEKNUM(A193,21)</f>
        <v>20</v>
      </c>
      <c r="I193" s="8" t="n">
        <f aca="false">A193-WEEKDAY(A193,3)</f>
        <v>43962</v>
      </c>
      <c r="J193" s="10" t="n">
        <f aca="false">IFERROR(D193/E193,"")</f>
        <v>58690.4</v>
      </c>
      <c r="K193" s="11" t="n">
        <f aca="false">IFERROR(D193/F193,"")</f>
        <v>1346.11009174312</v>
      </c>
    </row>
    <row r="194" customFormat="false" ht="15" hidden="false" customHeight="false" outlineLevel="0" collapsed="false">
      <c r="A194" s="8" t="n">
        <v>43962</v>
      </c>
      <c r="B194" s="9" t="s">
        <v>34</v>
      </c>
      <c r="C194" s="10" t="n">
        <v>12238.5</v>
      </c>
      <c r="D194" s="10" t="n">
        <v>1096002</v>
      </c>
      <c r="E194" s="9" t="n">
        <v>15</v>
      </c>
      <c r="F194" s="9" t="n">
        <v>812</v>
      </c>
      <c r="G194" s="9" t="n">
        <v>714</v>
      </c>
      <c r="H194" s="9" t="n">
        <f aca="false">WEEKNUM(A194,21)</f>
        <v>20</v>
      </c>
      <c r="I194" s="8" t="n">
        <f aca="false">A194-WEEKDAY(A194,3)</f>
        <v>43962</v>
      </c>
      <c r="J194" s="10" t="n">
        <f aca="false">IFERROR(D194/E194,"")</f>
        <v>73066.8</v>
      </c>
      <c r="K194" s="11" t="n">
        <f aca="false">IFERROR(D194/F194,"")</f>
        <v>1349.75615763547</v>
      </c>
    </row>
    <row r="195" customFormat="false" ht="15" hidden="false" customHeight="false" outlineLevel="0" collapsed="false">
      <c r="A195" s="8" t="n">
        <v>43962</v>
      </c>
      <c r="B195" s="9" t="s">
        <v>38</v>
      </c>
      <c r="C195" s="10" t="n">
        <v>12654</v>
      </c>
      <c r="D195" s="10" t="n">
        <v>1081158</v>
      </c>
      <c r="E195" s="9" t="n">
        <v>15</v>
      </c>
      <c r="F195" s="9" t="n">
        <v>684</v>
      </c>
      <c r="G195" s="9" t="n">
        <v>585</v>
      </c>
      <c r="H195" s="9" t="n">
        <f aca="false">WEEKNUM(A195,21)</f>
        <v>20</v>
      </c>
      <c r="I195" s="8" t="n">
        <f aca="false">A195-WEEKDAY(A195,3)</f>
        <v>43962</v>
      </c>
      <c r="J195" s="10" t="n">
        <f aca="false">IFERROR(D195/E195,"")</f>
        <v>72077.2</v>
      </c>
      <c r="K195" s="11" t="n">
        <f aca="false">IFERROR(D195/F195,"")</f>
        <v>1580.64035087719</v>
      </c>
    </row>
    <row r="196" customFormat="false" ht="15" hidden="false" customHeight="false" outlineLevel="0" collapsed="false">
      <c r="A196" s="8" t="n">
        <v>43962</v>
      </c>
      <c r="B196" s="9" t="s">
        <v>35</v>
      </c>
      <c r="C196" s="10" t="n">
        <v>318565.5</v>
      </c>
      <c r="D196" s="10" t="n">
        <v>33781581</v>
      </c>
      <c r="E196" s="9" t="n">
        <v>125</v>
      </c>
      <c r="F196" s="9" t="n">
        <v>18066</v>
      </c>
      <c r="G196" s="9" t="n">
        <v>16883</v>
      </c>
      <c r="H196" s="9" t="n">
        <f aca="false">WEEKNUM(A196,21)</f>
        <v>20</v>
      </c>
      <c r="I196" s="8" t="n">
        <f aca="false">A196-WEEKDAY(A196,3)</f>
        <v>43962</v>
      </c>
      <c r="J196" s="10" t="n">
        <f aca="false">IFERROR(D196/E196,"")</f>
        <v>270252.648</v>
      </c>
      <c r="K196" s="11" t="n">
        <f aca="false">IFERROR(D196/F196,"")</f>
        <v>1869.89820657589</v>
      </c>
    </row>
    <row r="197" customFormat="false" ht="15" hidden="false" customHeight="false" outlineLevel="0" collapsed="false">
      <c r="A197" s="8" t="n">
        <v>43962</v>
      </c>
      <c r="B197" s="9" t="s">
        <v>36</v>
      </c>
      <c r="C197" s="10" t="n">
        <v>237099</v>
      </c>
      <c r="D197" s="10" t="n">
        <v>24628233.22395</v>
      </c>
      <c r="E197" s="9" t="n">
        <v>129</v>
      </c>
      <c r="F197" s="9" t="n">
        <v>14043</v>
      </c>
      <c r="G197" s="9" t="n">
        <v>13167</v>
      </c>
      <c r="H197" s="9" t="n">
        <f aca="false">WEEKNUM(A197,21)</f>
        <v>20</v>
      </c>
      <c r="I197" s="8" t="n">
        <f aca="false">A197-WEEKDAY(A197,3)</f>
        <v>43962</v>
      </c>
      <c r="J197" s="10" t="n">
        <f aca="false">IFERROR(D197/E197,"")</f>
        <v>190916.536619767</v>
      </c>
      <c r="K197" s="11" t="n">
        <f aca="false">IFERROR(D197/F197,"")</f>
        <v>1753.77292771844</v>
      </c>
    </row>
    <row r="198" customFormat="false" ht="15" hidden="false" customHeight="false" outlineLevel="0" collapsed="false">
      <c r="A198" s="8" t="n">
        <v>43962</v>
      </c>
      <c r="B198" s="9" t="s">
        <v>37</v>
      </c>
      <c r="C198" s="10" t="n">
        <v>9007.5</v>
      </c>
      <c r="D198" s="10" t="n">
        <v>734335.5</v>
      </c>
      <c r="E198" s="9" t="n">
        <v>10</v>
      </c>
      <c r="F198" s="9" t="n">
        <v>494</v>
      </c>
      <c r="G198" s="9" t="n">
        <v>421</v>
      </c>
      <c r="H198" s="9" t="n">
        <f aca="false">WEEKNUM(A198,21)</f>
        <v>20</v>
      </c>
      <c r="I198" s="8" t="n">
        <f aca="false">A198-WEEKDAY(A198,3)</f>
        <v>43962</v>
      </c>
      <c r="J198" s="10" t="n">
        <f aca="false">IFERROR(D198/E198,"")</f>
        <v>73433.55</v>
      </c>
      <c r="K198" s="11" t="n">
        <f aca="false">IFERROR(D198/F198,"")</f>
        <v>1486.50910931174</v>
      </c>
    </row>
    <row r="199" customFormat="false" ht="15" hidden="false" customHeight="false" outlineLevel="0" collapsed="false">
      <c r="A199" s="8" t="n">
        <v>43963</v>
      </c>
      <c r="B199" s="9" t="s">
        <v>25</v>
      </c>
      <c r="C199" s="10" t="n">
        <v>64390.5</v>
      </c>
      <c r="D199" s="10" t="n">
        <v>5523145.5</v>
      </c>
      <c r="E199" s="9" t="n">
        <v>36</v>
      </c>
      <c r="F199" s="9" t="n">
        <v>4418</v>
      </c>
      <c r="G199" s="9" t="n">
        <v>4088</v>
      </c>
      <c r="H199" s="9" t="n">
        <f aca="false">WEEKNUM(A199,21)</f>
        <v>20</v>
      </c>
      <c r="I199" s="8" t="n">
        <f aca="false">A199-WEEKDAY(A199,3)</f>
        <v>43962</v>
      </c>
      <c r="J199" s="10" t="n">
        <f aca="false">IFERROR(D199/E199,"")</f>
        <v>153420.708333333</v>
      </c>
      <c r="K199" s="11" t="n">
        <f aca="false">IFERROR(D199/F199,"")</f>
        <v>1250.14610683567</v>
      </c>
    </row>
    <row r="200" customFormat="false" ht="15" hidden="false" customHeight="false" outlineLevel="0" collapsed="false">
      <c r="A200" s="8" t="n">
        <v>43963</v>
      </c>
      <c r="B200" s="9" t="s">
        <v>26</v>
      </c>
      <c r="C200" s="10" t="n">
        <v>71520</v>
      </c>
      <c r="D200" s="10" t="n">
        <v>6398361</v>
      </c>
      <c r="E200" s="9" t="n">
        <v>31</v>
      </c>
      <c r="F200" s="9" t="n">
        <v>4800</v>
      </c>
      <c r="G200" s="9" t="n">
        <v>4470</v>
      </c>
      <c r="H200" s="9" t="n">
        <f aca="false">WEEKNUM(A200,21)</f>
        <v>20</v>
      </c>
      <c r="I200" s="8" t="n">
        <f aca="false">A200-WEEKDAY(A200,3)</f>
        <v>43962</v>
      </c>
      <c r="J200" s="10" t="n">
        <f aca="false">IFERROR(D200/E200,"")</f>
        <v>206398.741935484</v>
      </c>
      <c r="K200" s="11" t="n">
        <f aca="false">IFERROR(D200/F200,"")</f>
        <v>1332.991875</v>
      </c>
    </row>
    <row r="201" customFormat="false" ht="15" hidden="false" customHeight="false" outlineLevel="0" collapsed="false">
      <c r="A201" s="8" t="n">
        <v>43963</v>
      </c>
      <c r="B201" s="9" t="s">
        <v>27</v>
      </c>
      <c r="C201" s="10" t="n">
        <v>32419.5</v>
      </c>
      <c r="D201" s="10" t="n">
        <v>3080614.5</v>
      </c>
      <c r="E201" s="9" t="n">
        <v>21</v>
      </c>
      <c r="F201" s="9" t="n">
        <v>1926</v>
      </c>
      <c r="G201" s="9" t="n">
        <v>1745</v>
      </c>
      <c r="H201" s="9" t="n">
        <f aca="false">WEEKNUM(A201,21)</f>
        <v>20</v>
      </c>
      <c r="I201" s="8" t="n">
        <f aca="false">A201-WEEKDAY(A201,3)</f>
        <v>43962</v>
      </c>
      <c r="J201" s="10" t="n">
        <f aca="false">IFERROR(D201/E201,"")</f>
        <v>146695.928571429</v>
      </c>
      <c r="K201" s="11" t="n">
        <f aca="false">IFERROR(D201/F201,"")</f>
        <v>1599.48831775701</v>
      </c>
    </row>
    <row r="202" customFormat="false" ht="15" hidden="false" customHeight="false" outlineLevel="0" collapsed="false">
      <c r="A202" s="8" t="n">
        <v>43963</v>
      </c>
      <c r="B202" s="9" t="s">
        <v>28</v>
      </c>
      <c r="C202" s="10" t="n">
        <v>28219.5</v>
      </c>
      <c r="D202" s="10" t="n">
        <v>2595778.5</v>
      </c>
      <c r="E202" s="9" t="n">
        <v>21</v>
      </c>
      <c r="F202" s="9" t="n">
        <v>1656</v>
      </c>
      <c r="G202" s="9" t="n">
        <v>1516</v>
      </c>
      <c r="H202" s="9" t="n">
        <f aca="false">WEEKNUM(A202,21)</f>
        <v>20</v>
      </c>
      <c r="I202" s="8" t="n">
        <f aca="false">A202-WEEKDAY(A202,3)</f>
        <v>43962</v>
      </c>
      <c r="J202" s="10" t="n">
        <f aca="false">IFERROR(D202/E202,"")</f>
        <v>123608.5</v>
      </c>
      <c r="K202" s="11" t="n">
        <f aca="false">IFERROR(D202/F202,"")</f>
        <v>1567.4990942029</v>
      </c>
    </row>
    <row r="203" customFormat="false" ht="15" hidden="false" customHeight="false" outlineLevel="0" collapsed="false">
      <c r="A203" s="8" t="n">
        <v>43963</v>
      </c>
      <c r="B203" s="9" t="s">
        <v>29</v>
      </c>
      <c r="C203" s="10" t="n">
        <v>25483.5</v>
      </c>
      <c r="D203" s="10" t="n">
        <v>2243160</v>
      </c>
      <c r="E203" s="9" t="n">
        <v>19</v>
      </c>
      <c r="F203" s="9" t="n">
        <v>1598</v>
      </c>
      <c r="G203" s="9" t="n">
        <v>1454</v>
      </c>
      <c r="H203" s="9" t="n">
        <f aca="false">WEEKNUM(A203,21)</f>
        <v>20</v>
      </c>
      <c r="I203" s="8" t="n">
        <f aca="false">A203-WEEKDAY(A203,3)</f>
        <v>43962</v>
      </c>
      <c r="J203" s="10" t="n">
        <f aca="false">IFERROR(D203/E203,"")</f>
        <v>118061.052631579</v>
      </c>
      <c r="K203" s="11" t="n">
        <f aca="false">IFERROR(D203/F203,"")</f>
        <v>1403.7296620776</v>
      </c>
    </row>
    <row r="204" customFormat="false" ht="15" hidden="false" customHeight="false" outlineLevel="0" collapsed="false">
      <c r="A204" s="8" t="n">
        <v>43963</v>
      </c>
      <c r="B204" s="9" t="s">
        <v>30</v>
      </c>
      <c r="C204" s="10" t="n">
        <v>189679.5</v>
      </c>
      <c r="D204" s="10" t="n">
        <v>18718036.5</v>
      </c>
      <c r="E204" s="9" t="n">
        <v>54</v>
      </c>
      <c r="F204" s="9" t="n">
        <v>11614</v>
      </c>
      <c r="G204" s="9" t="n">
        <v>10862</v>
      </c>
      <c r="H204" s="9" t="n">
        <f aca="false">WEEKNUM(A204,21)</f>
        <v>20</v>
      </c>
      <c r="I204" s="8" t="n">
        <f aca="false">A204-WEEKDAY(A204,3)</f>
        <v>43962</v>
      </c>
      <c r="J204" s="10" t="n">
        <f aca="false">IFERROR(D204/E204,"")</f>
        <v>346630.305555556</v>
      </c>
      <c r="K204" s="11" t="n">
        <f aca="false">IFERROR(D204/F204,"")</f>
        <v>1611.67870673325</v>
      </c>
    </row>
    <row r="205" customFormat="false" ht="15" hidden="false" customHeight="false" outlineLevel="0" collapsed="false">
      <c r="A205" s="8" t="n">
        <v>43963</v>
      </c>
      <c r="B205" s="9" t="s">
        <v>31</v>
      </c>
      <c r="C205" s="10" t="n">
        <v>192886.5</v>
      </c>
      <c r="D205" s="10" t="n">
        <v>19205179.5</v>
      </c>
      <c r="E205" s="9" t="n">
        <v>60</v>
      </c>
      <c r="F205" s="9" t="n">
        <v>12000</v>
      </c>
      <c r="G205" s="9" t="n">
        <v>11194</v>
      </c>
      <c r="H205" s="9" t="n">
        <f aca="false">WEEKNUM(A205,21)</f>
        <v>20</v>
      </c>
      <c r="I205" s="8" t="n">
        <f aca="false">A205-WEEKDAY(A205,3)</f>
        <v>43962</v>
      </c>
      <c r="J205" s="10" t="n">
        <f aca="false">IFERROR(D205/E205,"")</f>
        <v>320086.325</v>
      </c>
      <c r="K205" s="11" t="n">
        <f aca="false">IFERROR(D205/F205,"")</f>
        <v>1600.431625</v>
      </c>
    </row>
    <row r="206" customFormat="false" ht="15" hidden="false" customHeight="false" outlineLevel="0" collapsed="false">
      <c r="A206" s="8" t="n">
        <v>43963</v>
      </c>
      <c r="B206" s="9" t="s">
        <v>32</v>
      </c>
      <c r="C206" s="10" t="n">
        <v>26032.5</v>
      </c>
      <c r="D206" s="10" t="n">
        <v>2370432</v>
      </c>
      <c r="E206" s="9" t="n">
        <v>19</v>
      </c>
      <c r="F206" s="9" t="n">
        <v>1649</v>
      </c>
      <c r="G206" s="9" t="n">
        <v>1460</v>
      </c>
      <c r="H206" s="9" t="n">
        <f aca="false">WEEKNUM(A206,21)</f>
        <v>20</v>
      </c>
      <c r="I206" s="8" t="n">
        <f aca="false">A206-WEEKDAY(A206,3)</f>
        <v>43962</v>
      </c>
      <c r="J206" s="10" t="n">
        <f aca="false">IFERROR(D206/E206,"")</f>
        <v>124759.578947368</v>
      </c>
      <c r="K206" s="11" t="n">
        <f aca="false">IFERROR(D206/F206,"")</f>
        <v>1437.49666464524</v>
      </c>
    </row>
    <row r="207" customFormat="false" ht="15" hidden="false" customHeight="false" outlineLevel="0" collapsed="false">
      <c r="A207" s="8" t="n">
        <v>43963</v>
      </c>
      <c r="B207" s="9" t="s">
        <v>33</v>
      </c>
      <c r="C207" s="10" t="n">
        <v>13443</v>
      </c>
      <c r="D207" s="10" t="n">
        <v>1092277.5</v>
      </c>
      <c r="E207" s="9" t="n">
        <v>15</v>
      </c>
      <c r="F207" s="9" t="n">
        <v>750</v>
      </c>
      <c r="G207" s="9" t="n">
        <v>659</v>
      </c>
      <c r="H207" s="9" t="n">
        <f aca="false">WEEKNUM(A207,21)</f>
        <v>20</v>
      </c>
      <c r="I207" s="8" t="n">
        <f aca="false">A207-WEEKDAY(A207,3)</f>
        <v>43962</v>
      </c>
      <c r="J207" s="10" t="n">
        <f aca="false">IFERROR(D207/E207,"")</f>
        <v>72818.5</v>
      </c>
      <c r="K207" s="11" t="n">
        <f aca="false">IFERROR(D207/F207,"")</f>
        <v>1456.37</v>
      </c>
    </row>
    <row r="208" customFormat="false" ht="15" hidden="false" customHeight="false" outlineLevel="0" collapsed="false">
      <c r="A208" s="8" t="n">
        <v>43963</v>
      </c>
      <c r="B208" s="9" t="s">
        <v>34</v>
      </c>
      <c r="C208" s="10" t="n">
        <v>12802.5</v>
      </c>
      <c r="D208" s="10" t="n">
        <v>1123830</v>
      </c>
      <c r="E208" s="9" t="n">
        <v>15</v>
      </c>
      <c r="F208" s="9" t="n">
        <v>845</v>
      </c>
      <c r="G208" s="9" t="n">
        <v>743</v>
      </c>
      <c r="H208" s="9" t="n">
        <f aca="false">WEEKNUM(A208,21)</f>
        <v>20</v>
      </c>
      <c r="I208" s="8" t="n">
        <f aca="false">A208-WEEKDAY(A208,3)</f>
        <v>43962</v>
      </c>
      <c r="J208" s="10" t="n">
        <f aca="false">IFERROR(D208/E208,"")</f>
        <v>74922</v>
      </c>
      <c r="K208" s="11" t="n">
        <f aca="false">IFERROR(D208/F208,"")</f>
        <v>1329.97633136095</v>
      </c>
    </row>
    <row r="209" customFormat="false" ht="15" hidden="false" customHeight="false" outlineLevel="0" collapsed="false">
      <c r="A209" s="8" t="n">
        <v>43963</v>
      </c>
      <c r="B209" s="9" t="s">
        <v>38</v>
      </c>
      <c r="C209" s="10" t="n">
        <v>11296.5</v>
      </c>
      <c r="D209" s="10" t="n">
        <v>989632.5</v>
      </c>
      <c r="E209" s="9" t="n">
        <v>15</v>
      </c>
      <c r="F209" s="9" t="n">
        <v>624</v>
      </c>
      <c r="G209" s="9" t="n">
        <v>538</v>
      </c>
      <c r="H209" s="9" t="n">
        <f aca="false">WEEKNUM(A209,21)</f>
        <v>20</v>
      </c>
      <c r="I209" s="8" t="n">
        <f aca="false">A209-WEEKDAY(A209,3)</f>
        <v>43962</v>
      </c>
      <c r="J209" s="10" t="n">
        <f aca="false">IFERROR(D209/E209,"")</f>
        <v>65975.5</v>
      </c>
      <c r="K209" s="11" t="n">
        <f aca="false">IFERROR(D209/F209,"")</f>
        <v>1585.94951923077</v>
      </c>
    </row>
    <row r="210" customFormat="false" ht="15" hidden="false" customHeight="false" outlineLevel="0" collapsed="false">
      <c r="A210" s="8" t="n">
        <v>43963</v>
      </c>
      <c r="B210" s="9" t="s">
        <v>35</v>
      </c>
      <c r="C210" s="10" t="n">
        <v>373392</v>
      </c>
      <c r="D210" s="10" t="n">
        <v>39578577</v>
      </c>
      <c r="E210" s="9" t="n">
        <v>125</v>
      </c>
      <c r="F210" s="9" t="n">
        <v>21106</v>
      </c>
      <c r="G210" s="9" t="n">
        <v>19651</v>
      </c>
      <c r="H210" s="9" t="n">
        <f aca="false">WEEKNUM(A210,21)</f>
        <v>20</v>
      </c>
      <c r="I210" s="8" t="n">
        <f aca="false">A210-WEEKDAY(A210,3)</f>
        <v>43962</v>
      </c>
      <c r="J210" s="10" t="n">
        <f aca="false">IFERROR(D210/E210,"")</f>
        <v>316628.616</v>
      </c>
      <c r="K210" s="11" t="n">
        <f aca="false">IFERROR(D210/F210,"")</f>
        <v>1875.22870273856</v>
      </c>
    </row>
    <row r="211" customFormat="false" ht="15" hidden="false" customHeight="false" outlineLevel="0" collapsed="false">
      <c r="A211" s="8" t="n">
        <v>43963</v>
      </c>
      <c r="B211" s="9" t="s">
        <v>36</v>
      </c>
      <c r="C211" s="10" t="n">
        <v>281796</v>
      </c>
      <c r="D211" s="10" t="n">
        <v>29042520</v>
      </c>
      <c r="E211" s="9" t="n">
        <v>129</v>
      </c>
      <c r="F211" s="9" t="n">
        <v>16387</v>
      </c>
      <c r="G211" s="9" t="n">
        <v>15322</v>
      </c>
      <c r="H211" s="9" t="n">
        <f aca="false">WEEKNUM(A211,21)</f>
        <v>20</v>
      </c>
      <c r="I211" s="8" t="n">
        <f aca="false">A211-WEEKDAY(A211,3)</f>
        <v>43962</v>
      </c>
      <c r="J211" s="10" t="n">
        <f aca="false">IFERROR(D211/E211,"")</f>
        <v>225135.813953488</v>
      </c>
      <c r="K211" s="11" t="n">
        <f aca="false">IFERROR(D211/F211,"")</f>
        <v>1772.29023006041</v>
      </c>
    </row>
    <row r="212" customFormat="false" ht="15" hidden="false" customHeight="false" outlineLevel="0" collapsed="false">
      <c r="A212" s="8" t="n">
        <v>43963</v>
      </c>
      <c r="B212" s="9" t="s">
        <v>37</v>
      </c>
      <c r="C212" s="10" t="n">
        <v>9328.5</v>
      </c>
      <c r="D212" s="10" t="n">
        <v>732964.5</v>
      </c>
      <c r="E212" s="9" t="n">
        <v>10</v>
      </c>
      <c r="F212" s="9" t="n">
        <v>526</v>
      </c>
      <c r="G212" s="9" t="n">
        <v>448</v>
      </c>
      <c r="H212" s="9" t="n">
        <f aca="false">WEEKNUM(A212,21)</f>
        <v>20</v>
      </c>
      <c r="I212" s="8" t="n">
        <f aca="false">A212-WEEKDAY(A212,3)</f>
        <v>43962</v>
      </c>
      <c r="J212" s="10" t="n">
        <f aca="false">IFERROR(D212/E212,"")</f>
        <v>73296.45</v>
      </c>
      <c r="K212" s="11" t="n">
        <f aca="false">IFERROR(D212/F212,"")</f>
        <v>1393.46863117871</v>
      </c>
    </row>
    <row r="213" customFormat="false" ht="15" hidden="false" customHeight="false" outlineLevel="0" collapsed="false">
      <c r="A213" s="8" t="n">
        <v>43964</v>
      </c>
      <c r="B213" s="9" t="s">
        <v>25</v>
      </c>
      <c r="C213" s="10" t="n">
        <v>73062</v>
      </c>
      <c r="D213" s="10" t="n">
        <v>6333828</v>
      </c>
      <c r="E213" s="9" t="n">
        <v>36</v>
      </c>
      <c r="F213" s="9" t="n">
        <v>4967</v>
      </c>
      <c r="G213" s="9" t="n">
        <v>4583</v>
      </c>
      <c r="H213" s="9" t="n">
        <f aca="false">WEEKNUM(A213,21)</f>
        <v>20</v>
      </c>
      <c r="I213" s="8" t="n">
        <f aca="false">A213-WEEKDAY(A213,3)</f>
        <v>43962</v>
      </c>
      <c r="J213" s="10" t="n">
        <f aca="false">IFERROR(D213/E213,"")</f>
        <v>175939.666666667</v>
      </c>
      <c r="K213" s="11" t="n">
        <f aca="false">IFERROR(D213/F213,"")</f>
        <v>1275.1817998792</v>
      </c>
    </row>
    <row r="214" customFormat="false" ht="15" hidden="false" customHeight="false" outlineLevel="0" collapsed="false">
      <c r="A214" s="8" t="n">
        <v>43964</v>
      </c>
      <c r="B214" s="9" t="s">
        <v>26</v>
      </c>
      <c r="C214" s="10" t="n">
        <v>78846</v>
      </c>
      <c r="D214" s="10" t="n">
        <v>6993952.5</v>
      </c>
      <c r="E214" s="9" t="n">
        <v>31</v>
      </c>
      <c r="F214" s="9" t="n">
        <v>5251</v>
      </c>
      <c r="G214" s="9" t="n">
        <v>4853</v>
      </c>
      <c r="H214" s="9" t="n">
        <f aca="false">WEEKNUM(A214,21)</f>
        <v>20</v>
      </c>
      <c r="I214" s="8" t="n">
        <f aca="false">A214-WEEKDAY(A214,3)</f>
        <v>43962</v>
      </c>
      <c r="J214" s="10" t="n">
        <f aca="false">IFERROR(D214/E214,"")</f>
        <v>225611.370967742</v>
      </c>
      <c r="K214" s="11" t="n">
        <f aca="false">IFERROR(D214/F214,"")</f>
        <v>1331.9277280518</v>
      </c>
    </row>
    <row r="215" customFormat="false" ht="15" hidden="false" customHeight="false" outlineLevel="0" collapsed="false">
      <c r="A215" s="8" t="n">
        <v>43964</v>
      </c>
      <c r="B215" s="9" t="s">
        <v>27</v>
      </c>
      <c r="C215" s="10" t="n">
        <v>35535</v>
      </c>
      <c r="D215" s="10" t="n">
        <v>3288069</v>
      </c>
      <c r="E215" s="9" t="n">
        <v>21</v>
      </c>
      <c r="F215" s="9" t="n">
        <v>2061</v>
      </c>
      <c r="G215" s="9" t="n">
        <v>1876</v>
      </c>
      <c r="H215" s="9" t="n">
        <f aca="false">WEEKNUM(A215,21)</f>
        <v>20</v>
      </c>
      <c r="I215" s="8" t="n">
        <f aca="false">A215-WEEKDAY(A215,3)</f>
        <v>43962</v>
      </c>
      <c r="J215" s="10" t="n">
        <f aca="false">IFERROR(D215/E215,"")</f>
        <v>156574.714285714</v>
      </c>
      <c r="K215" s="11" t="n">
        <f aca="false">IFERROR(D215/F215,"")</f>
        <v>1595.37554585153</v>
      </c>
    </row>
    <row r="216" customFormat="false" ht="15" hidden="false" customHeight="false" outlineLevel="0" collapsed="false">
      <c r="A216" s="8" t="n">
        <v>43964</v>
      </c>
      <c r="B216" s="9" t="s">
        <v>28</v>
      </c>
      <c r="C216" s="10" t="n">
        <v>29241</v>
      </c>
      <c r="D216" s="10" t="n">
        <v>2629782</v>
      </c>
      <c r="E216" s="9" t="n">
        <v>21</v>
      </c>
      <c r="F216" s="9" t="n">
        <v>1698</v>
      </c>
      <c r="G216" s="9" t="n">
        <v>1554</v>
      </c>
      <c r="H216" s="9" t="n">
        <f aca="false">WEEKNUM(A216,21)</f>
        <v>20</v>
      </c>
      <c r="I216" s="8" t="n">
        <f aca="false">A216-WEEKDAY(A216,3)</f>
        <v>43962</v>
      </c>
      <c r="J216" s="10" t="n">
        <f aca="false">IFERROR(D216/E216,"")</f>
        <v>125227.714285714</v>
      </c>
      <c r="K216" s="11" t="n">
        <f aca="false">IFERROR(D216/F216,"")</f>
        <v>1548.75265017668</v>
      </c>
    </row>
    <row r="217" customFormat="false" ht="15" hidden="false" customHeight="false" outlineLevel="0" collapsed="false">
      <c r="A217" s="8" t="n">
        <v>43964</v>
      </c>
      <c r="B217" s="9" t="s">
        <v>29</v>
      </c>
      <c r="C217" s="10" t="n">
        <v>25539</v>
      </c>
      <c r="D217" s="10" t="n">
        <v>2263651.5</v>
      </c>
      <c r="E217" s="9" t="n">
        <v>19</v>
      </c>
      <c r="F217" s="9" t="n">
        <v>1605</v>
      </c>
      <c r="G217" s="9" t="n">
        <v>1447</v>
      </c>
      <c r="H217" s="9" t="n">
        <f aca="false">WEEKNUM(A217,21)</f>
        <v>20</v>
      </c>
      <c r="I217" s="8" t="n">
        <f aca="false">A217-WEEKDAY(A217,3)</f>
        <v>43962</v>
      </c>
      <c r="J217" s="10" t="n">
        <f aca="false">IFERROR(D217/E217,"")</f>
        <v>119139.552631579</v>
      </c>
      <c r="K217" s="11" t="n">
        <f aca="false">IFERROR(D217/F217,"")</f>
        <v>1410.37476635514</v>
      </c>
    </row>
    <row r="218" customFormat="false" ht="15" hidden="false" customHeight="false" outlineLevel="0" collapsed="false">
      <c r="A218" s="8" t="n">
        <v>43964</v>
      </c>
      <c r="B218" s="9" t="s">
        <v>30</v>
      </c>
      <c r="C218" s="10" t="n">
        <v>188662.5</v>
      </c>
      <c r="D218" s="10" t="n">
        <v>18784000.5</v>
      </c>
      <c r="E218" s="9" t="n">
        <v>54</v>
      </c>
      <c r="F218" s="9" t="n">
        <v>11522</v>
      </c>
      <c r="G218" s="9" t="n">
        <v>10803</v>
      </c>
      <c r="H218" s="9" t="n">
        <f aca="false">WEEKNUM(A218,21)</f>
        <v>20</v>
      </c>
      <c r="I218" s="8" t="n">
        <f aca="false">A218-WEEKDAY(A218,3)</f>
        <v>43962</v>
      </c>
      <c r="J218" s="10" t="n">
        <f aca="false">IFERROR(D218/E218,"")</f>
        <v>347851.861111111</v>
      </c>
      <c r="K218" s="11" t="n">
        <f aca="false">IFERROR(D218/F218,"")</f>
        <v>1630.27256552682</v>
      </c>
    </row>
    <row r="219" customFormat="false" ht="15" hidden="false" customHeight="false" outlineLevel="0" collapsed="false">
      <c r="A219" s="8" t="n">
        <v>43964</v>
      </c>
      <c r="B219" s="9" t="s">
        <v>31</v>
      </c>
      <c r="C219" s="10" t="n">
        <v>193722</v>
      </c>
      <c r="D219" s="10" t="n">
        <v>19437273</v>
      </c>
      <c r="E219" s="9" t="n">
        <v>60</v>
      </c>
      <c r="F219" s="9" t="n">
        <v>12007</v>
      </c>
      <c r="G219" s="9" t="n">
        <v>11245</v>
      </c>
      <c r="H219" s="9" t="n">
        <f aca="false">WEEKNUM(A219,21)</f>
        <v>20</v>
      </c>
      <c r="I219" s="8" t="n">
        <f aca="false">A219-WEEKDAY(A219,3)</f>
        <v>43962</v>
      </c>
      <c r="J219" s="10" t="n">
        <f aca="false">IFERROR(D219/E219,"")</f>
        <v>323954.55</v>
      </c>
      <c r="K219" s="11" t="n">
        <f aca="false">IFERROR(D219/F219,"")</f>
        <v>1618.82843341384</v>
      </c>
    </row>
    <row r="220" customFormat="false" ht="15" hidden="false" customHeight="false" outlineLevel="0" collapsed="false">
      <c r="A220" s="8" t="n">
        <v>43964</v>
      </c>
      <c r="B220" s="9" t="s">
        <v>32</v>
      </c>
      <c r="C220" s="10" t="n">
        <v>26464.5</v>
      </c>
      <c r="D220" s="10" t="n">
        <v>2373337.5</v>
      </c>
      <c r="E220" s="9" t="n">
        <v>19</v>
      </c>
      <c r="F220" s="9" t="n">
        <v>1625</v>
      </c>
      <c r="G220" s="9" t="n">
        <v>1444</v>
      </c>
      <c r="H220" s="9" t="n">
        <f aca="false">WEEKNUM(A220,21)</f>
        <v>20</v>
      </c>
      <c r="I220" s="8" t="n">
        <f aca="false">A220-WEEKDAY(A220,3)</f>
        <v>43962</v>
      </c>
      <c r="J220" s="10" t="n">
        <f aca="false">IFERROR(D220/E220,"")</f>
        <v>124912.5</v>
      </c>
      <c r="K220" s="11" t="n">
        <f aca="false">IFERROR(D220/F220,"")</f>
        <v>1460.51538461538</v>
      </c>
    </row>
    <row r="221" customFormat="false" ht="15" hidden="false" customHeight="false" outlineLevel="0" collapsed="false">
      <c r="A221" s="8" t="n">
        <v>43964</v>
      </c>
      <c r="B221" s="9" t="s">
        <v>33</v>
      </c>
      <c r="C221" s="10" t="n">
        <v>14643</v>
      </c>
      <c r="D221" s="10" t="n">
        <v>1172691</v>
      </c>
      <c r="E221" s="9" t="n">
        <v>15</v>
      </c>
      <c r="F221" s="9" t="n">
        <v>854</v>
      </c>
      <c r="G221" s="9" t="n">
        <v>756</v>
      </c>
      <c r="H221" s="9" t="n">
        <f aca="false">WEEKNUM(A221,21)</f>
        <v>20</v>
      </c>
      <c r="I221" s="8" t="n">
        <f aca="false">A221-WEEKDAY(A221,3)</f>
        <v>43962</v>
      </c>
      <c r="J221" s="10" t="n">
        <f aca="false">IFERROR(D221/E221,"")</f>
        <v>78179.4</v>
      </c>
      <c r="K221" s="11" t="n">
        <f aca="false">IFERROR(D221/F221,"")</f>
        <v>1373.17447306792</v>
      </c>
    </row>
    <row r="222" customFormat="false" ht="15" hidden="false" customHeight="false" outlineLevel="0" collapsed="false">
      <c r="A222" s="8" t="n">
        <v>43964</v>
      </c>
      <c r="B222" s="9" t="s">
        <v>34</v>
      </c>
      <c r="C222" s="10" t="n">
        <v>14305.5</v>
      </c>
      <c r="D222" s="10" t="n">
        <v>1243507.5</v>
      </c>
      <c r="E222" s="9" t="n">
        <v>15</v>
      </c>
      <c r="F222" s="9" t="n">
        <v>898</v>
      </c>
      <c r="G222" s="9" t="n">
        <v>795</v>
      </c>
      <c r="H222" s="9" t="n">
        <f aca="false">WEEKNUM(A222,21)</f>
        <v>20</v>
      </c>
      <c r="I222" s="8" t="n">
        <f aca="false">A222-WEEKDAY(A222,3)</f>
        <v>43962</v>
      </c>
      <c r="J222" s="10" t="n">
        <f aca="false">IFERROR(D222/E222,"")</f>
        <v>82900.5</v>
      </c>
      <c r="K222" s="11" t="n">
        <f aca="false">IFERROR(D222/F222,"")</f>
        <v>1384.75222717149</v>
      </c>
    </row>
    <row r="223" customFormat="false" ht="15" hidden="false" customHeight="false" outlineLevel="0" collapsed="false">
      <c r="A223" s="8" t="n">
        <v>43964</v>
      </c>
      <c r="B223" s="9" t="s">
        <v>38</v>
      </c>
      <c r="C223" s="10" t="n">
        <v>10401</v>
      </c>
      <c r="D223" s="10" t="n">
        <v>949912.5</v>
      </c>
      <c r="E223" s="9" t="n">
        <v>15</v>
      </c>
      <c r="F223" s="9" t="n">
        <v>599</v>
      </c>
      <c r="G223" s="9" t="n">
        <v>515</v>
      </c>
      <c r="H223" s="9" t="n">
        <f aca="false">WEEKNUM(A223,21)</f>
        <v>20</v>
      </c>
      <c r="I223" s="8" t="n">
        <f aca="false">A223-WEEKDAY(A223,3)</f>
        <v>43962</v>
      </c>
      <c r="J223" s="10" t="n">
        <f aca="false">IFERROR(D223/E223,"")</f>
        <v>63327.5</v>
      </c>
      <c r="K223" s="11" t="n">
        <f aca="false">IFERROR(D223/F223,"")</f>
        <v>1585.8305509182</v>
      </c>
    </row>
    <row r="224" customFormat="false" ht="15" hidden="false" customHeight="false" outlineLevel="0" collapsed="false">
      <c r="A224" s="8" t="n">
        <v>43964</v>
      </c>
      <c r="B224" s="9" t="s">
        <v>35</v>
      </c>
      <c r="C224" s="10" t="n">
        <v>350068.5</v>
      </c>
      <c r="D224" s="10" t="n">
        <v>37197115.5</v>
      </c>
      <c r="E224" s="9" t="n">
        <v>125</v>
      </c>
      <c r="F224" s="9" t="n">
        <v>19965</v>
      </c>
      <c r="G224" s="9" t="n">
        <v>18573</v>
      </c>
      <c r="H224" s="9" t="n">
        <f aca="false">WEEKNUM(A224,21)</f>
        <v>20</v>
      </c>
      <c r="I224" s="8" t="n">
        <f aca="false">A224-WEEKDAY(A224,3)</f>
        <v>43962</v>
      </c>
      <c r="J224" s="10" t="n">
        <f aca="false">IFERROR(D224/E224,"")</f>
        <v>297576.924</v>
      </c>
      <c r="K224" s="11" t="n">
        <f aca="false">IFERROR(D224/F224,"")</f>
        <v>1863.1162283997</v>
      </c>
    </row>
    <row r="225" customFormat="false" ht="15" hidden="false" customHeight="false" outlineLevel="0" collapsed="false">
      <c r="A225" s="8" t="n">
        <v>43964</v>
      </c>
      <c r="B225" s="9" t="s">
        <v>36</v>
      </c>
      <c r="C225" s="10" t="n">
        <v>258459</v>
      </c>
      <c r="D225" s="10" t="n">
        <v>26467453.5</v>
      </c>
      <c r="E225" s="9" t="n">
        <v>129</v>
      </c>
      <c r="F225" s="9" t="n">
        <v>15304</v>
      </c>
      <c r="G225" s="9" t="n">
        <v>14315</v>
      </c>
      <c r="H225" s="9" t="n">
        <f aca="false">WEEKNUM(A225,21)</f>
        <v>20</v>
      </c>
      <c r="I225" s="8" t="n">
        <f aca="false">A225-WEEKDAY(A225,3)</f>
        <v>43962</v>
      </c>
      <c r="J225" s="10" t="n">
        <f aca="false">IFERROR(D225/E225,"")</f>
        <v>205174.058139535</v>
      </c>
      <c r="K225" s="11" t="n">
        <f aca="false">IFERROR(D225/F225,"")</f>
        <v>1729.44677861997</v>
      </c>
    </row>
    <row r="226" customFormat="false" ht="15" hidden="false" customHeight="false" outlineLevel="0" collapsed="false">
      <c r="A226" s="8" t="n">
        <v>43964</v>
      </c>
      <c r="B226" s="9" t="s">
        <v>37</v>
      </c>
      <c r="C226" s="10" t="n">
        <v>11202</v>
      </c>
      <c r="D226" s="10" t="n">
        <v>865714.5</v>
      </c>
      <c r="E226" s="9" t="n">
        <v>10</v>
      </c>
      <c r="F226" s="9" t="n">
        <v>612</v>
      </c>
      <c r="G226" s="9" t="n">
        <v>530</v>
      </c>
      <c r="H226" s="9" t="n">
        <f aca="false">WEEKNUM(A226,21)</f>
        <v>20</v>
      </c>
      <c r="I226" s="8" t="n">
        <f aca="false">A226-WEEKDAY(A226,3)</f>
        <v>43962</v>
      </c>
      <c r="J226" s="10" t="n">
        <f aca="false">IFERROR(D226/E226,"")</f>
        <v>86571.45</v>
      </c>
      <c r="K226" s="11" t="n">
        <f aca="false">IFERROR(D226/F226,"")</f>
        <v>1414.56617647059</v>
      </c>
    </row>
    <row r="227" customFormat="false" ht="15" hidden="false" customHeight="false" outlineLevel="0" collapsed="false">
      <c r="A227" s="8" t="n">
        <v>43965</v>
      </c>
      <c r="B227" s="9" t="s">
        <v>25</v>
      </c>
      <c r="C227" s="10" t="n">
        <v>63645</v>
      </c>
      <c r="D227" s="10" t="n">
        <v>5366602.5</v>
      </c>
      <c r="E227" s="9" t="n">
        <v>36</v>
      </c>
      <c r="F227" s="9" t="n">
        <v>4285</v>
      </c>
      <c r="G227" s="9" t="n">
        <v>3950</v>
      </c>
      <c r="H227" s="9" t="n">
        <f aca="false">WEEKNUM(A227,21)</f>
        <v>20</v>
      </c>
      <c r="I227" s="8" t="n">
        <f aca="false">A227-WEEKDAY(A227,3)</f>
        <v>43962</v>
      </c>
      <c r="J227" s="10" t="n">
        <f aca="false">IFERROR(D227/E227,"")</f>
        <v>149072.291666667</v>
      </c>
      <c r="K227" s="11" t="n">
        <f aca="false">IFERROR(D227/F227,"")</f>
        <v>1252.41598599767</v>
      </c>
    </row>
    <row r="228" customFormat="false" ht="15" hidden="false" customHeight="false" outlineLevel="0" collapsed="false">
      <c r="A228" s="8" t="n">
        <v>43965</v>
      </c>
      <c r="B228" s="9" t="s">
        <v>26</v>
      </c>
      <c r="C228" s="10" t="n">
        <v>70498.5</v>
      </c>
      <c r="D228" s="10" t="n">
        <v>6053649</v>
      </c>
      <c r="E228" s="9" t="n">
        <v>31</v>
      </c>
      <c r="F228" s="9" t="n">
        <v>4695</v>
      </c>
      <c r="G228" s="9" t="n">
        <v>4372</v>
      </c>
      <c r="H228" s="9" t="n">
        <f aca="false">WEEKNUM(A228,21)</f>
        <v>20</v>
      </c>
      <c r="I228" s="8" t="n">
        <f aca="false">A228-WEEKDAY(A228,3)</f>
        <v>43962</v>
      </c>
      <c r="J228" s="10" t="n">
        <f aca="false">IFERROR(D228/E228,"")</f>
        <v>195279</v>
      </c>
      <c r="K228" s="11" t="n">
        <f aca="false">IFERROR(D228/F228,"")</f>
        <v>1289.3821086262</v>
      </c>
    </row>
    <row r="229" customFormat="false" ht="15" hidden="false" customHeight="false" outlineLevel="0" collapsed="false">
      <c r="A229" s="8" t="n">
        <v>43965</v>
      </c>
      <c r="B229" s="9" t="s">
        <v>27</v>
      </c>
      <c r="C229" s="10" t="n">
        <v>33886.5</v>
      </c>
      <c r="D229" s="10" t="n">
        <v>3166479</v>
      </c>
      <c r="E229" s="9" t="n">
        <v>21</v>
      </c>
      <c r="F229" s="9" t="n">
        <v>1993</v>
      </c>
      <c r="G229" s="9" t="n">
        <v>1796</v>
      </c>
      <c r="H229" s="9" t="n">
        <f aca="false">WEEKNUM(A229,21)</f>
        <v>20</v>
      </c>
      <c r="I229" s="8" t="n">
        <f aca="false">A229-WEEKDAY(A229,3)</f>
        <v>43962</v>
      </c>
      <c r="J229" s="10" t="n">
        <f aca="false">IFERROR(D229/E229,"")</f>
        <v>150784.714285714</v>
      </c>
      <c r="K229" s="11" t="n">
        <f aca="false">IFERROR(D229/F229,"")</f>
        <v>1588.80030105369</v>
      </c>
    </row>
    <row r="230" customFormat="false" ht="15" hidden="false" customHeight="false" outlineLevel="0" collapsed="false">
      <c r="A230" s="8" t="n">
        <v>43965</v>
      </c>
      <c r="B230" s="9" t="s">
        <v>28</v>
      </c>
      <c r="C230" s="10" t="n">
        <v>29658</v>
      </c>
      <c r="D230" s="10" t="n">
        <v>2703132</v>
      </c>
      <c r="E230" s="9" t="n">
        <v>21</v>
      </c>
      <c r="F230" s="9" t="n">
        <v>1706</v>
      </c>
      <c r="G230" s="9" t="n">
        <v>1548</v>
      </c>
      <c r="H230" s="9" t="n">
        <f aca="false">WEEKNUM(A230,21)</f>
        <v>20</v>
      </c>
      <c r="I230" s="8" t="n">
        <f aca="false">A230-WEEKDAY(A230,3)</f>
        <v>43962</v>
      </c>
      <c r="J230" s="10" t="n">
        <f aca="false">IFERROR(D230/E230,"")</f>
        <v>128720.571428571</v>
      </c>
      <c r="K230" s="11" t="n">
        <f aca="false">IFERROR(D230/F230,"")</f>
        <v>1584.48534583822</v>
      </c>
    </row>
    <row r="231" customFormat="false" ht="15" hidden="false" customHeight="false" outlineLevel="0" collapsed="false">
      <c r="A231" s="8" t="n">
        <v>43965</v>
      </c>
      <c r="B231" s="9" t="s">
        <v>29</v>
      </c>
      <c r="C231" s="10" t="n">
        <v>25656</v>
      </c>
      <c r="D231" s="10" t="n">
        <v>2225341.5</v>
      </c>
      <c r="E231" s="9" t="n">
        <v>19</v>
      </c>
      <c r="F231" s="9" t="n">
        <v>1635</v>
      </c>
      <c r="G231" s="9" t="n">
        <v>1487</v>
      </c>
      <c r="H231" s="9" t="n">
        <f aca="false">WEEKNUM(A231,21)</f>
        <v>20</v>
      </c>
      <c r="I231" s="8" t="n">
        <f aca="false">A231-WEEKDAY(A231,3)</f>
        <v>43962</v>
      </c>
      <c r="J231" s="10" t="n">
        <f aca="false">IFERROR(D231/E231,"")</f>
        <v>117123.236842105</v>
      </c>
      <c r="K231" s="11" t="n">
        <f aca="false">IFERROR(D231/F231,"")</f>
        <v>1361.06513761468</v>
      </c>
    </row>
    <row r="232" customFormat="false" ht="15" hidden="false" customHeight="false" outlineLevel="0" collapsed="false">
      <c r="A232" s="8" t="n">
        <v>43965</v>
      </c>
      <c r="B232" s="9" t="s">
        <v>30</v>
      </c>
      <c r="C232" s="10" t="n">
        <v>186496.5</v>
      </c>
      <c r="D232" s="10" t="n">
        <v>18640998</v>
      </c>
      <c r="E232" s="9" t="n">
        <v>54</v>
      </c>
      <c r="F232" s="9" t="n">
        <v>11194</v>
      </c>
      <c r="G232" s="9" t="n">
        <v>10554</v>
      </c>
      <c r="H232" s="9" t="n">
        <f aca="false">WEEKNUM(A232,21)</f>
        <v>20</v>
      </c>
      <c r="I232" s="8" t="n">
        <f aca="false">A232-WEEKDAY(A232,3)</f>
        <v>43962</v>
      </c>
      <c r="J232" s="10" t="n">
        <f aca="false">IFERROR(D232/E232,"")</f>
        <v>345203.666666667</v>
      </c>
      <c r="K232" s="11" t="n">
        <f aca="false">IFERROR(D232/F232,"")</f>
        <v>1665.26692871181</v>
      </c>
    </row>
    <row r="233" customFormat="false" ht="15" hidden="false" customHeight="false" outlineLevel="0" collapsed="false">
      <c r="A233" s="8" t="n">
        <v>43965</v>
      </c>
      <c r="B233" s="9" t="s">
        <v>31</v>
      </c>
      <c r="C233" s="10" t="n">
        <v>197946</v>
      </c>
      <c r="D233" s="10" t="n">
        <v>19942435.5</v>
      </c>
      <c r="E233" s="9" t="n">
        <v>60</v>
      </c>
      <c r="F233" s="9" t="n">
        <v>11935</v>
      </c>
      <c r="G233" s="9" t="n">
        <v>11178</v>
      </c>
      <c r="H233" s="9" t="n">
        <f aca="false">WEEKNUM(A233,21)</f>
        <v>20</v>
      </c>
      <c r="I233" s="8" t="n">
        <f aca="false">A233-WEEKDAY(A233,3)</f>
        <v>43962</v>
      </c>
      <c r="J233" s="10" t="n">
        <f aca="false">IFERROR(D233/E233,"")</f>
        <v>332373.925</v>
      </c>
      <c r="K233" s="11" t="n">
        <f aca="false">IFERROR(D233/F233,"")</f>
        <v>1670.92044407206</v>
      </c>
    </row>
    <row r="234" customFormat="false" ht="15" hidden="false" customHeight="false" outlineLevel="0" collapsed="false">
      <c r="A234" s="8" t="n">
        <v>43965</v>
      </c>
      <c r="B234" s="9" t="s">
        <v>32</v>
      </c>
      <c r="C234" s="10" t="n">
        <v>27411</v>
      </c>
      <c r="D234" s="10" t="n">
        <v>2441520</v>
      </c>
      <c r="E234" s="9" t="n">
        <v>19</v>
      </c>
      <c r="F234" s="9" t="n">
        <v>1675</v>
      </c>
      <c r="G234" s="9" t="n">
        <v>1475</v>
      </c>
      <c r="H234" s="9" t="n">
        <f aca="false">WEEKNUM(A234,21)</f>
        <v>20</v>
      </c>
      <c r="I234" s="8" t="n">
        <f aca="false">A234-WEEKDAY(A234,3)</f>
        <v>43962</v>
      </c>
      <c r="J234" s="10" t="n">
        <f aca="false">IFERROR(D234/E234,"")</f>
        <v>128501.052631579</v>
      </c>
      <c r="K234" s="11" t="n">
        <f aca="false">IFERROR(D234/F234,"")</f>
        <v>1457.62388059702</v>
      </c>
    </row>
    <row r="235" customFormat="false" ht="15" hidden="false" customHeight="false" outlineLevel="0" collapsed="false">
      <c r="A235" s="8" t="n">
        <v>43965</v>
      </c>
      <c r="B235" s="9" t="s">
        <v>33</v>
      </c>
      <c r="C235" s="10" t="n">
        <v>13810.5</v>
      </c>
      <c r="D235" s="10" t="n">
        <v>1131676.5</v>
      </c>
      <c r="E235" s="9" t="n">
        <v>16</v>
      </c>
      <c r="F235" s="9" t="n">
        <v>834</v>
      </c>
      <c r="G235" s="9" t="n">
        <v>735</v>
      </c>
      <c r="H235" s="9" t="n">
        <f aca="false">WEEKNUM(A235,21)</f>
        <v>20</v>
      </c>
      <c r="I235" s="8" t="n">
        <f aca="false">A235-WEEKDAY(A235,3)</f>
        <v>43962</v>
      </c>
      <c r="J235" s="10" t="n">
        <f aca="false">IFERROR(D235/E235,"")</f>
        <v>70729.78125</v>
      </c>
      <c r="K235" s="11" t="n">
        <f aca="false">IFERROR(D235/F235,"")</f>
        <v>1356.92625899281</v>
      </c>
    </row>
    <row r="236" customFormat="false" ht="15" hidden="false" customHeight="false" outlineLevel="0" collapsed="false">
      <c r="A236" s="8" t="n">
        <v>43965</v>
      </c>
      <c r="B236" s="9" t="s">
        <v>34</v>
      </c>
      <c r="C236" s="10" t="n">
        <v>14385</v>
      </c>
      <c r="D236" s="10" t="n">
        <v>1223491.5</v>
      </c>
      <c r="E236" s="9" t="n">
        <v>15</v>
      </c>
      <c r="F236" s="9" t="n">
        <v>890</v>
      </c>
      <c r="G236" s="9" t="n">
        <v>777</v>
      </c>
      <c r="H236" s="9" t="n">
        <f aca="false">WEEKNUM(A236,21)</f>
        <v>20</v>
      </c>
      <c r="I236" s="8" t="n">
        <f aca="false">A236-WEEKDAY(A236,3)</f>
        <v>43962</v>
      </c>
      <c r="J236" s="10" t="n">
        <f aca="false">IFERROR(D236/E236,"")</f>
        <v>81566.1</v>
      </c>
      <c r="K236" s="11" t="n">
        <f aca="false">IFERROR(D236/F236,"")</f>
        <v>1374.7095505618</v>
      </c>
    </row>
    <row r="237" customFormat="false" ht="15" hidden="false" customHeight="false" outlineLevel="0" collapsed="false">
      <c r="A237" s="8" t="n">
        <v>43965</v>
      </c>
      <c r="B237" s="9" t="s">
        <v>38</v>
      </c>
      <c r="C237" s="10" t="n">
        <v>11161.5</v>
      </c>
      <c r="D237" s="10" t="n">
        <v>963502.5</v>
      </c>
      <c r="E237" s="9" t="n">
        <v>15</v>
      </c>
      <c r="F237" s="9" t="n">
        <v>638</v>
      </c>
      <c r="G237" s="9" t="n">
        <v>548</v>
      </c>
      <c r="H237" s="9" t="n">
        <f aca="false">WEEKNUM(A237,21)</f>
        <v>20</v>
      </c>
      <c r="I237" s="8" t="n">
        <f aca="false">A237-WEEKDAY(A237,3)</f>
        <v>43962</v>
      </c>
      <c r="J237" s="10" t="n">
        <f aca="false">IFERROR(D237/E237,"")</f>
        <v>64233.5</v>
      </c>
      <c r="K237" s="11" t="n">
        <f aca="false">IFERROR(D237/F237,"")</f>
        <v>1510.19200626959</v>
      </c>
    </row>
    <row r="238" customFormat="false" ht="15" hidden="false" customHeight="false" outlineLevel="0" collapsed="false">
      <c r="A238" s="8" t="n">
        <v>43965</v>
      </c>
      <c r="B238" s="9" t="s">
        <v>35</v>
      </c>
      <c r="C238" s="10" t="n">
        <v>358387.5</v>
      </c>
      <c r="D238" s="10" t="n">
        <v>37963150.5</v>
      </c>
      <c r="E238" s="9" t="n">
        <v>125</v>
      </c>
      <c r="F238" s="9" t="n">
        <v>20247</v>
      </c>
      <c r="G238" s="9" t="n">
        <v>18812</v>
      </c>
      <c r="H238" s="9" t="n">
        <f aca="false">WEEKNUM(A238,21)</f>
        <v>20</v>
      </c>
      <c r="I238" s="8" t="n">
        <f aca="false">A238-WEEKDAY(A238,3)</f>
        <v>43962</v>
      </c>
      <c r="J238" s="10" t="n">
        <f aca="false">IFERROR(D238/E238,"")</f>
        <v>303705.204</v>
      </c>
      <c r="K238" s="11" t="n">
        <f aca="false">IFERROR(D238/F238,"")</f>
        <v>1875.00125944584</v>
      </c>
    </row>
    <row r="239" customFormat="false" ht="15" hidden="false" customHeight="false" outlineLevel="0" collapsed="false">
      <c r="A239" s="8" t="n">
        <v>43965</v>
      </c>
      <c r="B239" s="9" t="s">
        <v>36</v>
      </c>
      <c r="C239" s="10" t="n">
        <v>274059</v>
      </c>
      <c r="D239" s="10" t="n">
        <v>28181292</v>
      </c>
      <c r="E239" s="9" t="n">
        <v>129</v>
      </c>
      <c r="F239" s="9" t="n">
        <v>15804</v>
      </c>
      <c r="G239" s="9" t="n">
        <v>14738</v>
      </c>
      <c r="H239" s="9" t="n">
        <f aca="false">WEEKNUM(A239,21)</f>
        <v>20</v>
      </c>
      <c r="I239" s="8" t="n">
        <f aca="false">A239-WEEKDAY(A239,3)</f>
        <v>43962</v>
      </c>
      <c r="J239" s="10" t="n">
        <f aca="false">IFERROR(D239/E239,"")</f>
        <v>218459.627906977</v>
      </c>
      <c r="K239" s="11" t="n">
        <f aca="false">IFERROR(D239/F239,"")</f>
        <v>1783.17463933181</v>
      </c>
    </row>
    <row r="240" customFormat="false" ht="15" hidden="false" customHeight="false" outlineLevel="0" collapsed="false">
      <c r="A240" s="8" t="n">
        <v>43965</v>
      </c>
      <c r="B240" s="9" t="s">
        <v>37</v>
      </c>
      <c r="C240" s="10" t="n">
        <v>12037.5</v>
      </c>
      <c r="D240" s="10" t="n">
        <v>981564</v>
      </c>
      <c r="E240" s="9" t="n">
        <v>10</v>
      </c>
      <c r="F240" s="9" t="n">
        <v>627</v>
      </c>
      <c r="G240" s="9" t="n">
        <v>545</v>
      </c>
      <c r="H240" s="9" t="n">
        <f aca="false">WEEKNUM(A240,21)</f>
        <v>20</v>
      </c>
      <c r="I240" s="8" t="n">
        <f aca="false">A240-WEEKDAY(A240,3)</f>
        <v>43962</v>
      </c>
      <c r="J240" s="10" t="n">
        <f aca="false">IFERROR(D240/E240,"")</f>
        <v>98156.4</v>
      </c>
      <c r="K240" s="11" t="n">
        <f aca="false">IFERROR(D240/F240,"")</f>
        <v>1565.49282296651</v>
      </c>
    </row>
    <row r="241" customFormat="false" ht="15" hidden="false" customHeight="false" outlineLevel="0" collapsed="false">
      <c r="A241" s="8" t="n">
        <v>43966</v>
      </c>
      <c r="B241" s="9" t="s">
        <v>25</v>
      </c>
      <c r="C241" s="10" t="n">
        <v>75642</v>
      </c>
      <c r="D241" s="10" t="n">
        <v>6293952</v>
      </c>
      <c r="E241" s="9" t="n">
        <v>36</v>
      </c>
      <c r="F241" s="9" t="n">
        <v>4862</v>
      </c>
      <c r="G241" s="9" t="n">
        <v>4476</v>
      </c>
      <c r="H241" s="9" t="n">
        <f aca="false">WEEKNUM(A241,21)</f>
        <v>20</v>
      </c>
      <c r="I241" s="8" t="n">
        <f aca="false">A241-WEEKDAY(A241,3)</f>
        <v>43962</v>
      </c>
      <c r="J241" s="10" t="n">
        <f aca="false">IFERROR(D241/E241,"")</f>
        <v>174832</v>
      </c>
      <c r="K241" s="11" t="n">
        <f aca="false">IFERROR(D241/F241,"")</f>
        <v>1294.51912793089</v>
      </c>
    </row>
    <row r="242" customFormat="false" ht="15" hidden="false" customHeight="false" outlineLevel="0" collapsed="false">
      <c r="A242" s="8" t="n">
        <v>43966</v>
      </c>
      <c r="B242" s="9" t="s">
        <v>26</v>
      </c>
      <c r="C242" s="10" t="n">
        <v>78961.5</v>
      </c>
      <c r="D242" s="10" t="n">
        <v>6876454.5</v>
      </c>
      <c r="E242" s="9" t="n">
        <v>31</v>
      </c>
      <c r="F242" s="9" t="n">
        <v>5184</v>
      </c>
      <c r="G242" s="9" t="n">
        <v>4778</v>
      </c>
      <c r="H242" s="9" t="n">
        <f aca="false">WEEKNUM(A242,21)</f>
        <v>20</v>
      </c>
      <c r="I242" s="8" t="n">
        <f aca="false">A242-WEEKDAY(A242,3)</f>
        <v>43962</v>
      </c>
      <c r="J242" s="10" t="n">
        <f aca="false">IFERROR(D242/E242,"")</f>
        <v>221821.112903226</v>
      </c>
      <c r="K242" s="11" t="n">
        <f aca="false">IFERROR(D242/F242,"")</f>
        <v>1326.4765625</v>
      </c>
    </row>
    <row r="243" customFormat="false" ht="15" hidden="false" customHeight="false" outlineLevel="0" collapsed="false">
      <c r="A243" s="8" t="n">
        <v>43966</v>
      </c>
      <c r="B243" s="9" t="s">
        <v>27</v>
      </c>
      <c r="C243" s="10" t="n">
        <v>41697</v>
      </c>
      <c r="D243" s="10" t="n">
        <v>3772258.5</v>
      </c>
      <c r="E243" s="9" t="n">
        <v>21</v>
      </c>
      <c r="F243" s="9" t="n">
        <v>2255</v>
      </c>
      <c r="G243" s="9" t="n">
        <v>2045</v>
      </c>
      <c r="H243" s="9" t="n">
        <f aca="false">WEEKNUM(A243,21)</f>
        <v>20</v>
      </c>
      <c r="I243" s="8" t="n">
        <f aca="false">A243-WEEKDAY(A243,3)</f>
        <v>43962</v>
      </c>
      <c r="J243" s="10" t="n">
        <f aca="false">IFERROR(D243/E243,"")</f>
        <v>179631.357142857</v>
      </c>
      <c r="K243" s="11" t="n">
        <f aca="false">IFERROR(D243/F243,"")</f>
        <v>1672.84190687361</v>
      </c>
    </row>
    <row r="244" customFormat="false" ht="15" hidden="false" customHeight="false" outlineLevel="0" collapsed="false">
      <c r="A244" s="8" t="n">
        <v>43966</v>
      </c>
      <c r="B244" s="9" t="s">
        <v>28</v>
      </c>
      <c r="C244" s="10" t="n">
        <v>34150.5</v>
      </c>
      <c r="D244" s="10" t="n">
        <v>3038293.5</v>
      </c>
      <c r="E244" s="9" t="n">
        <v>21</v>
      </c>
      <c r="F244" s="9" t="n">
        <v>1926</v>
      </c>
      <c r="G244" s="9" t="n">
        <v>1742</v>
      </c>
      <c r="H244" s="9" t="n">
        <f aca="false">WEEKNUM(A244,21)</f>
        <v>20</v>
      </c>
      <c r="I244" s="8" t="n">
        <f aca="false">A244-WEEKDAY(A244,3)</f>
        <v>43962</v>
      </c>
      <c r="J244" s="10" t="n">
        <f aca="false">IFERROR(D244/E244,"")</f>
        <v>144680.642857143</v>
      </c>
      <c r="K244" s="11" t="n">
        <f aca="false">IFERROR(D244/F244,"")</f>
        <v>1577.51479750779</v>
      </c>
    </row>
    <row r="245" customFormat="false" ht="15" hidden="false" customHeight="false" outlineLevel="0" collapsed="false">
      <c r="A245" s="8" t="n">
        <v>43966</v>
      </c>
      <c r="B245" s="9" t="s">
        <v>29</v>
      </c>
      <c r="C245" s="10" t="n">
        <v>29283</v>
      </c>
      <c r="D245" s="10" t="n">
        <v>2477487</v>
      </c>
      <c r="E245" s="9" t="n">
        <v>19</v>
      </c>
      <c r="F245" s="9" t="n">
        <v>1780</v>
      </c>
      <c r="G245" s="9" t="n">
        <v>1615</v>
      </c>
      <c r="H245" s="9" t="n">
        <f aca="false">WEEKNUM(A245,21)</f>
        <v>20</v>
      </c>
      <c r="I245" s="8" t="n">
        <f aca="false">A245-WEEKDAY(A245,3)</f>
        <v>43962</v>
      </c>
      <c r="J245" s="10" t="n">
        <f aca="false">IFERROR(D245/E245,"")</f>
        <v>130394.052631579</v>
      </c>
      <c r="K245" s="11" t="n">
        <f aca="false">IFERROR(D245/F245,"")</f>
        <v>1391.84662921348</v>
      </c>
    </row>
    <row r="246" customFormat="false" ht="15" hidden="false" customHeight="false" outlineLevel="0" collapsed="false">
      <c r="A246" s="8" t="n">
        <v>43966</v>
      </c>
      <c r="B246" s="9" t="s">
        <v>30</v>
      </c>
      <c r="C246" s="10" t="n">
        <v>219772.5</v>
      </c>
      <c r="D246" s="10" t="n">
        <v>21895294.5</v>
      </c>
      <c r="E246" s="9" t="n">
        <v>54</v>
      </c>
      <c r="F246" s="9" t="n">
        <v>12791</v>
      </c>
      <c r="G246" s="9" t="n">
        <v>11950</v>
      </c>
      <c r="H246" s="9" t="n">
        <f aca="false">WEEKNUM(A246,21)</f>
        <v>20</v>
      </c>
      <c r="I246" s="8" t="n">
        <f aca="false">A246-WEEKDAY(A246,3)</f>
        <v>43962</v>
      </c>
      <c r="J246" s="10" t="n">
        <f aca="false">IFERROR(D246/E246,"")</f>
        <v>405468.416666667</v>
      </c>
      <c r="K246" s="11" t="n">
        <f aca="false">IFERROR(D246/F246,"")</f>
        <v>1711.77347353608</v>
      </c>
    </row>
    <row r="247" customFormat="false" ht="15" hidden="false" customHeight="false" outlineLevel="0" collapsed="false">
      <c r="A247" s="8" t="n">
        <v>43966</v>
      </c>
      <c r="B247" s="9" t="s">
        <v>31</v>
      </c>
      <c r="C247" s="10" t="n">
        <v>230896.5</v>
      </c>
      <c r="D247" s="10" t="n">
        <v>23085222</v>
      </c>
      <c r="E247" s="9" t="n">
        <v>60</v>
      </c>
      <c r="F247" s="9" t="n">
        <v>13544</v>
      </c>
      <c r="G247" s="9" t="n">
        <v>12643</v>
      </c>
      <c r="H247" s="9" t="n">
        <f aca="false">WEEKNUM(A247,21)</f>
        <v>20</v>
      </c>
      <c r="I247" s="8" t="n">
        <f aca="false">A247-WEEKDAY(A247,3)</f>
        <v>43962</v>
      </c>
      <c r="J247" s="10" t="n">
        <f aca="false">IFERROR(D247/E247,"")</f>
        <v>384753.7</v>
      </c>
      <c r="K247" s="11" t="n">
        <f aca="false">IFERROR(D247/F247,"")</f>
        <v>1704.46116361488</v>
      </c>
    </row>
    <row r="248" customFormat="false" ht="15" hidden="false" customHeight="false" outlineLevel="0" collapsed="false">
      <c r="A248" s="8" t="n">
        <v>43966</v>
      </c>
      <c r="B248" s="9" t="s">
        <v>32</v>
      </c>
      <c r="C248" s="10" t="n">
        <v>32854.5</v>
      </c>
      <c r="D248" s="10" t="n">
        <v>2949078</v>
      </c>
      <c r="E248" s="9" t="n">
        <v>19</v>
      </c>
      <c r="F248" s="9" t="n">
        <v>1940</v>
      </c>
      <c r="G248" s="9" t="n">
        <v>1715</v>
      </c>
      <c r="H248" s="9" t="n">
        <f aca="false">WEEKNUM(A248,21)</f>
        <v>20</v>
      </c>
      <c r="I248" s="8" t="n">
        <f aca="false">A248-WEEKDAY(A248,3)</f>
        <v>43962</v>
      </c>
      <c r="J248" s="10" t="n">
        <f aca="false">IFERROR(D248/E248,"")</f>
        <v>155214.631578947</v>
      </c>
      <c r="K248" s="11" t="n">
        <f aca="false">IFERROR(D248/F248,"")</f>
        <v>1520.14329896907</v>
      </c>
    </row>
    <row r="249" customFormat="false" ht="15" hidden="false" customHeight="false" outlineLevel="0" collapsed="false">
      <c r="A249" s="8" t="n">
        <v>43966</v>
      </c>
      <c r="B249" s="9" t="s">
        <v>33</v>
      </c>
      <c r="C249" s="10" t="n">
        <v>13752</v>
      </c>
      <c r="D249" s="10" t="n">
        <v>1091040</v>
      </c>
      <c r="E249" s="9" t="n">
        <v>16</v>
      </c>
      <c r="F249" s="9" t="n">
        <v>817</v>
      </c>
      <c r="G249" s="9" t="n">
        <v>718</v>
      </c>
      <c r="H249" s="9" t="n">
        <f aca="false">WEEKNUM(A249,21)</f>
        <v>20</v>
      </c>
      <c r="I249" s="8" t="n">
        <f aca="false">A249-WEEKDAY(A249,3)</f>
        <v>43962</v>
      </c>
      <c r="J249" s="10" t="n">
        <f aca="false">IFERROR(D249/E249,"")</f>
        <v>68190</v>
      </c>
      <c r="K249" s="11" t="n">
        <f aca="false">IFERROR(D249/F249,"")</f>
        <v>1335.42227662179</v>
      </c>
    </row>
    <row r="250" customFormat="false" ht="15" hidden="false" customHeight="false" outlineLevel="0" collapsed="false">
      <c r="A250" s="8" t="n">
        <v>43966</v>
      </c>
      <c r="B250" s="9" t="s">
        <v>34</v>
      </c>
      <c r="C250" s="10" t="n">
        <v>16498.5</v>
      </c>
      <c r="D250" s="10" t="n">
        <v>1370482.5</v>
      </c>
      <c r="E250" s="9" t="n">
        <v>15</v>
      </c>
      <c r="F250" s="9" t="n">
        <v>980</v>
      </c>
      <c r="G250" s="9" t="n">
        <v>867</v>
      </c>
      <c r="H250" s="9" t="n">
        <f aca="false">WEEKNUM(A250,21)</f>
        <v>20</v>
      </c>
      <c r="I250" s="8" t="n">
        <f aca="false">A250-WEEKDAY(A250,3)</f>
        <v>43962</v>
      </c>
      <c r="J250" s="10" t="n">
        <f aca="false">IFERROR(D250/E250,"")</f>
        <v>91365.5</v>
      </c>
      <c r="K250" s="11" t="n">
        <f aca="false">IFERROR(D250/F250,"")</f>
        <v>1398.45153061224</v>
      </c>
    </row>
    <row r="251" customFormat="false" ht="15" hidden="false" customHeight="false" outlineLevel="0" collapsed="false">
      <c r="A251" s="8" t="n">
        <v>43966</v>
      </c>
      <c r="B251" s="9" t="s">
        <v>38</v>
      </c>
      <c r="C251" s="10" t="n">
        <v>12229.5</v>
      </c>
      <c r="D251" s="10" t="n">
        <v>1122730.5</v>
      </c>
      <c r="E251" s="9" t="n">
        <v>15</v>
      </c>
      <c r="F251" s="9" t="n">
        <v>688</v>
      </c>
      <c r="G251" s="9" t="n">
        <v>598</v>
      </c>
      <c r="H251" s="9" t="n">
        <f aca="false">WEEKNUM(A251,21)</f>
        <v>20</v>
      </c>
      <c r="I251" s="8" t="n">
        <f aca="false">A251-WEEKDAY(A251,3)</f>
        <v>43962</v>
      </c>
      <c r="J251" s="10" t="n">
        <f aca="false">IFERROR(D251/E251,"")</f>
        <v>74848.7</v>
      </c>
      <c r="K251" s="11" t="n">
        <f aca="false">IFERROR(D251/F251,"")</f>
        <v>1631.87572674419</v>
      </c>
    </row>
    <row r="252" customFormat="false" ht="15" hidden="false" customHeight="false" outlineLevel="0" collapsed="false">
      <c r="A252" s="8" t="n">
        <v>43966</v>
      </c>
      <c r="B252" s="9" t="s">
        <v>35</v>
      </c>
      <c r="C252" s="10" t="n">
        <v>403261.5</v>
      </c>
      <c r="D252" s="10" t="n">
        <v>42271377</v>
      </c>
      <c r="E252" s="9" t="n">
        <v>125</v>
      </c>
      <c r="F252" s="9" t="n">
        <v>21862</v>
      </c>
      <c r="G252" s="9" t="n">
        <v>20235</v>
      </c>
      <c r="H252" s="9" t="n">
        <f aca="false">WEEKNUM(A252,21)</f>
        <v>20</v>
      </c>
      <c r="I252" s="8" t="n">
        <f aca="false">A252-WEEKDAY(A252,3)</f>
        <v>43962</v>
      </c>
      <c r="J252" s="10" t="n">
        <f aca="false">IFERROR(D252/E252,"")</f>
        <v>338171.016</v>
      </c>
      <c r="K252" s="11" t="n">
        <f aca="false">IFERROR(D252/F252,"")</f>
        <v>1933.55488976306</v>
      </c>
    </row>
    <row r="253" customFormat="false" ht="15" hidden="false" customHeight="false" outlineLevel="0" collapsed="false">
      <c r="A253" s="8" t="n">
        <v>43966</v>
      </c>
      <c r="B253" s="9" t="s">
        <v>36</v>
      </c>
      <c r="C253" s="10" t="n">
        <v>318816</v>
      </c>
      <c r="D253" s="10" t="n">
        <v>32354331</v>
      </c>
      <c r="E253" s="9" t="n">
        <v>129</v>
      </c>
      <c r="F253" s="9" t="n">
        <v>17808</v>
      </c>
      <c r="G253" s="9" t="n">
        <v>16486</v>
      </c>
      <c r="H253" s="9" t="n">
        <f aca="false">WEEKNUM(A253,21)</f>
        <v>20</v>
      </c>
      <c r="I253" s="8" t="n">
        <f aca="false">A253-WEEKDAY(A253,3)</f>
        <v>43962</v>
      </c>
      <c r="J253" s="10" t="n">
        <f aca="false">IFERROR(D253/E253,"")</f>
        <v>250808.76744186</v>
      </c>
      <c r="K253" s="11" t="n">
        <f aca="false">IFERROR(D253/F253,"")</f>
        <v>1816.84248652291</v>
      </c>
    </row>
    <row r="254" customFormat="false" ht="15" hidden="false" customHeight="false" outlineLevel="0" collapsed="false">
      <c r="A254" s="8" t="n">
        <v>43966</v>
      </c>
      <c r="B254" s="9" t="s">
        <v>37</v>
      </c>
      <c r="C254" s="10" t="n">
        <v>14421</v>
      </c>
      <c r="D254" s="10" t="n">
        <v>1150579.5</v>
      </c>
      <c r="E254" s="9" t="n">
        <v>10</v>
      </c>
      <c r="F254" s="9" t="n">
        <v>743</v>
      </c>
      <c r="G254" s="9" t="n">
        <v>652</v>
      </c>
      <c r="H254" s="9" t="n">
        <f aca="false">WEEKNUM(A254,21)</f>
        <v>20</v>
      </c>
      <c r="I254" s="8" t="n">
        <f aca="false">A254-WEEKDAY(A254,3)</f>
        <v>43962</v>
      </c>
      <c r="J254" s="10" t="n">
        <f aca="false">IFERROR(D254/E254,"")</f>
        <v>115057.95</v>
      </c>
      <c r="K254" s="11" t="n">
        <f aca="false">IFERROR(D254/F254,"")</f>
        <v>1548.55921938089</v>
      </c>
    </row>
    <row r="255" customFormat="false" ht="15" hidden="false" customHeight="false" outlineLevel="0" collapsed="false">
      <c r="A255" s="8" t="n">
        <v>43967</v>
      </c>
      <c r="B255" s="9" t="s">
        <v>25</v>
      </c>
      <c r="C255" s="10" t="n">
        <v>81331.5</v>
      </c>
      <c r="D255" s="10" t="n">
        <v>6652179</v>
      </c>
      <c r="E255" s="9" t="n">
        <v>36</v>
      </c>
      <c r="F255" s="9" t="n">
        <v>5286</v>
      </c>
      <c r="G255" s="9" t="n">
        <v>4867</v>
      </c>
      <c r="H255" s="9" t="n">
        <f aca="false">WEEKNUM(A255,21)</f>
        <v>20</v>
      </c>
      <c r="I255" s="8" t="n">
        <f aca="false">A255-WEEKDAY(A255,3)</f>
        <v>43962</v>
      </c>
      <c r="J255" s="10" t="n">
        <f aca="false">IFERROR(D255/E255,"")</f>
        <v>184782.75</v>
      </c>
      <c r="K255" s="11" t="n">
        <f aca="false">IFERROR(D255/F255,"")</f>
        <v>1258.45232690125</v>
      </c>
    </row>
    <row r="256" customFormat="false" ht="15" hidden="false" customHeight="false" outlineLevel="0" collapsed="false">
      <c r="A256" s="8" t="n">
        <v>43967</v>
      </c>
      <c r="B256" s="9" t="s">
        <v>26</v>
      </c>
      <c r="C256" s="10" t="n">
        <v>88063.5</v>
      </c>
      <c r="D256" s="10" t="n">
        <v>7583758.5</v>
      </c>
      <c r="E256" s="9" t="n">
        <v>31</v>
      </c>
      <c r="F256" s="9" t="n">
        <v>5593</v>
      </c>
      <c r="G256" s="9" t="n">
        <v>5177</v>
      </c>
      <c r="H256" s="9" t="n">
        <f aca="false">WEEKNUM(A256,21)</f>
        <v>20</v>
      </c>
      <c r="I256" s="8" t="n">
        <f aca="false">A256-WEEKDAY(A256,3)</f>
        <v>43962</v>
      </c>
      <c r="J256" s="10" t="n">
        <f aca="false">IFERROR(D256/E256,"")</f>
        <v>244637.370967742</v>
      </c>
      <c r="K256" s="11" t="n">
        <f aca="false">IFERROR(D256/F256,"")</f>
        <v>1355.93751117468</v>
      </c>
    </row>
    <row r="257" customFormat="false" ht="15" hidden="false" customHeight="false" outlineLevel="0" collapsed="false">
      <c r="A257" s="8" t="n">
        <v>43967</v>
      </c>
      <c r="B257" s="9" t="s">
        <v>27</v>
      </c>
      <c r="C257" s="10" t="n">
        <v>44560.5</v>
      </c>
      <c r="D257" s="10" t="n">
        <v>4025148</v>
      </c>
      <c r="E257" s="9" t="n">
        <v>21</v>
      </c>
      <c r="F257" s="9" t="n">
        <v>2427</v>
      </c>
      <c r="G257" s="9" t="n">
        <v>2213</v>
      </c>
      <c r="H257" s="9" t="n">
        <f aca="false">WEEKNUM(A257,21)</f>
        <v>20</v>
      </c>
      <c r="I257" s="8" t="n">
        <f aca="false">A257-WEEKDAY(A257,3)</f>
        <v>43962</v>
      </c>
      <c r="J257" s="10" t="n">
        <f aca="false">IFERROR(D257/E257,"")</f>
        <v>191673.714285714</v>
      </c>
      <c r="K257" s="11" t="n">
        <f aca="false">IFERROR(D257/F257,"")</f>
        <v>1658.4870210136</v>
      </c>
    </row>
    <row r="258" customFormat="false" ht="15" hidden="false" customHeight="false" outlineLevel="0" collapsed="false">
      <c r="A258" s="8" t="n">
        <v>43967</v>
      </c>
      <c r="B258" s="9" t="s">
        <v>28</v>
      </c>
      <c r="C258" s="10" t="n">
        <v>38947.5</v>
      </c>
      <c r="D258" s="10" t="n">
        <v>3395892</v>
      </c>
      <c r="E258" s="9" t="n">
        <v>21</v>
      </c>
      <c r="F258" s="9" t="n">
        <v>2145</v>
      </c>
      <c r="G258" s="9" t="n">
        <v>1947</v>
      </c>
      <c r="H258" s="9" t="n">
        <f aca="false">WEEKNUM(A258,21)</f>
        <v>20</v>
      </c>
      <c r="I258" s="8" t="n">
        <f aca="false">A258-WEEKDAY(A258,3)</f>
        <v>43962</v>
      </c>
      <c r="J258" s="10" t="n">
        <f aca="false">IFERROR(D258/E258,"")</f>
        <v>161709.142857143</v>
      </c>
      <c r="K258" s="11" t="n">
        <f aca="false">IFERROR(D258/F258,"")</f>
        <v>1583.16643356643</v>
      </c>
    </row>
    <row r="259" customFormat="false" ht="15" hidden="false" customHeight="false" outlineLevel="0" collapsed="false">
      <c r="A259" s="8" t="n">
        <v>43967</v>
      </c>
      <c r="B259" s="9" t="s">
        <v>29</v>
      </c>
      <c r="C259" s="10" t="n">
        <v>34563</v>
      </c>
      <c r="D259" s="10" t="n">
        <v>2922883.5</v>
      </c>
      <c r="E259" s="9" t="n">
        <v>19</v>
      </c>
      <c r="F259" s="9" t="n">
        <v>2039</v>
      </c>
      <c r="G259" s="9" t="n">
        <v>1868</v>
      </c>
      <c r="H259" s="9" t="n">
        <f aca="false">WEEKNUM(A259,21)</f>
        <v>20</v>
      </c>
      <c r="I259" s="8" t="n">
        <f aca="false">A259-WEEKDAY(A259,3)</f>
        <v>43962</v>
      </c>
      <c r="J259" s="10" t="n">
        <f aca="false">IFERROR(D259/E259,"")</f>
        <v>153835.973684211</v>
      </c>
      <c r="K259" s="11" t="n">
        <f aca="false">IFERROR(D259/F259,"")</f>
        <v>1433.48871996077</v>
      </c>
    </row>
    <row r="260" customFormat="false" ht="15" hidden="false" customHeight="false" outlineLevel="0" collapsed="false">
      <c r="A260" s="8" t="n">
        <v>43967</v>
      </c>
      <c r="B260" s="9" t="s">
        <v>30</v>
      </c>
      <c r="C260" s="10" t="n">
        <v>225480</v>
      </c>
      <c r="D260" s="10" t="n">
        <v>22355338.5</v>
      </c>
      <c r="E260" s="9" t="n">
        <v>54</v>
      </c>
      <c r="F260" s="9" t="n">
        <v>13170</v>
      </c>
      <c r="G260" s="9" t="n">
        <v>12299</v>
      </c>
      <c r="H260" s="9" t="n">
        <f aca="false">WEEKNUM(A260,21)</f>
        <v>20</v>
      </c>
      <c r="I260" s="8" t="n">
        <f aca="false">A260-WEEKDAY(A260,3)</f>
        <v>43962</v>
      </c>
      <c r="J260" s="10" t="n">
        <f aca="false">IFERROR(D260/E260,"")</f>
        <v>413987.75</v>
      </c>
      <c r="K260" s="11" t="n">
        <f aca="false">IFERROR(D260/F260,"")</f>
        <v>1697.44407744875</v>
      </c>
    </row>
    <row r="261" customFormat="false" ht="15" hidden="false" customHeight="false" outlineLevel="0" collapsed="false">
      <c r="A261" s="8" t="n">
        <v>43967</v>
      </c>
      <c r="B261" s="9" t="s">
        <v>31</v>
      </c>
      <c r="C261" s="10" t="n">
        <v>236551.5</v>
      </c>
      <c r="D261" s="10" t="n">
        <v>23689383</v>
      </c>
      <c r="E261" s="9" t="n">
        <v>60</v>
      </c>
      <c r="F261" s="9" t="n">
        <v>14049</v>
      </c>
      <c r="G261" s="9" t="n">
        <v>13118</v>
      </c>
      <c r="H261" s="9" t="n">
        <f aca="false">WEEKNUM(A261,21)</f>
        <v>20</v>
      </c>
      <c r="I261" s="8" t="n">
        <f aca="false">A261-WEEKDAY(A261,3)</f>
        <v>43962</v>
      </c>
      <c r="J261" s="10" t="n">
        <f aca="false">IFERROR(D261/E261,"")</f>
        <v>394823.05</v>
      </c>
      <c r="K261" s="11" t="n">
        <f aca="false">IFERROR(D261/F261,"")</f>
        <v>1686.19709587871</v>
      </c>
    </row>
    <row r="262" customFormat="false" ht="15" hidden="false" customHeight="false" outlineLevel="0" collapsed="false">
      <c r="A262" s="8" t="n">
        <v>43967</v>
      </c>
      <c r="B262" s="9" t="s">
        <v>32</v>
      </c>
      <c r="C262" s="10" t="n">
        <v>35482.5</v>
      </c>
      <c r="D262" s="10" t="n">
        <v>3222517.5</v>
      </c>
      <c r="E262" s="9" t="n">
        <v>19</v>
      </c>
      <c r="F262" s="9" t="n">
        <v>2080</v>
      </c>
      <c r="G262" s="9" t="n">
        <v>1844</v>
      </c>
      <c r="H262" s="9" t="n">
        <f aca="false">WEEKNUM(A262,21)</f>
        <v>20</v>
      </c>
      <c r="I262" s="8" t="n">
        <f aca="false">A262-WEEKDAY(A262,3)</f>
        <v>43962</v>
      </c>
      <c r="J262" s="10" t="n">
        <f aca="false">IFERROR(D262/E262,"")</f>
        <v>169606.184210526</v>
      </c>
      <c r="K262" s="11" t="n">
        <f aca="false">IFERROR(D262/F262,"")</f>
        <v>1549.28725961538</v>
      </c>
    </row>
    <row r="263" customFormat="false" ht="15" hidden="false" customHeight="false" outlineLevel="0" collapsed="false">
      <c r="A263" s="8" t="n">
        <v>43967</v>
      </c>
      <c r="B263" s="9" t="s">
        <v>33</v>
      </c>
      <c r="C263" s="10" t="n">
        <v>16368</v>
      </c>
      <c r="D263" s="10" t="n">
        <v>1316350.5</v>
      </c>
      <c r="E263" s="9" t="n">
        <v>16</v>
      </c>
      <c r="F263" s="9" t="n">
        <v>920</v>
      </c>
      <c r="G263" s="9" t="n">
        <v>818</v>
      </c>
      <c r="H263" s="9" t="n">
        <f aca="false">WEEKNUM(A263,21)</f>
        <v>20</v>
      </c>
      <c r="I263" s="8" t="n">
        <f aca="false">A263-WEEKDAY(A263,3)</f>
        <v>43962</v>
      </c>
      <c r="J263" s="10" t="n">
        <f aca="false">IFERROR(D263/E263,"")</f>
        <v>82271.90625</v>
      </c>
      <c r="K263" s="11" t="n">
        <f aca="false">IFERROR(D263/F263,"")</f>
        <v>1430.81576086957</v>
      </c>
    </row>
    <row r="264" customFormat="false" ht="15" hidden="false" customHeight="false" outlineLevel="0" collapsed="false">
      <c r="A264" s="8" t="n">
        <v>43967</v>
      </c>
      <c r="B264" s="9" t="s">
        <v>34</v>
      </c>
      <c r="C264" s="10" t="n">
        <v>18600</v>
      </c>
      <c r="D264" s="10" t="n">
        <v>1601425.5</v>
      </c>
      <c r="E264" s="9" t="n">
        <v>15</v>
      </c>
      <c r="F264" s="9" t="n">
        <v>1111</v>
      </c>
      <c r="G264" s="9" t="n">
        <v>992</v>
      </c>
      <c r="H264" s="9" t="n">
        <f aca="false">WEEKNUM(A264,21)</f>
        <v>20</v>
      </c>
      <c r="I264" s="8" t="n">
        <f aca="false">A264-WEEKDAY(A264,3)</f>
        <v>43962</v>
      </c>
      <c r="J264" s="10" t="n">
        <f aca="false">IFERROR(D264/E264,"")</f>
        <v>106761.7</v>
      </c>
      <c r="K264" s="11" t="n">
        <f aca="false">IFERROR(D264/F264,"")</f>
        <v>1441.42709270927</v>
      </c>
    </row>
    <row r="265" customFormat="false" ht="15" hidden="false" customHeight="false" outlineLevel="0" collapsed="false">
      <c r="A265" s="8" t="n">
        <v>43967</v>
      </c>
      <c r="B265" s="9" t="s">
        <v>38</v>
      </c>
      <c r="C265" s="10" t="n">
        <v>13120.5</v>
      </c>
      <c r="D265" s="10" t="n">
        <v>1215033</v>
      </c>
      <c r="E265" s="9" t="n">
        <v>15</v>
      </c>
      <c r="F265" s="9" t="n">
        <v>747</v>
      </c>
      <c r="G265" s="9" t="n">
        <v>647</v>
      </c>
      <c r="H265" s="9" t="n">
        <f aca="false">WEEKNUM(A265,21)</f>
        <v>20</v>
      </c>
      <c r="I265" s="8" t="n">
        <f aca="false">A265-WEEKDAY(A265,3)</f>
        <v>43962</v>
      </c>
      <c r="J265" s="10" t="n">
        <f aca="false">IFERROR(D265/E265,"")</f>
        <v>81002.2</v>
      </c>
      <c r="K265" s="11" t="n">
        <f aca="false">IFERROR(D265/F265,"")</f>
        <v>1626.55020080321</v>
      </c>
    </row>
    <row r="266" customFormat="false" ht="15" hidden="false" customHeight="false" outlineLevel="0" collapsed="false">
      <c r="A266" s="8" t="n">
        <v>43967</v>
      </c>
      <c r="B266" s="9" t="s">
        <v>35</v>
      </c>
      <c r="C266" s="10" t="n">
        <v>408810</v>
      </c>
      <c r="D266" s="10" t="n">
        <v>42323631</v>
      </c>
      <c r="E266" s="9" t="n">
        <v>125</v>
      </c>
      <c r="F266" s="9" t="n">
        <v>22291</v>
      </c>
      <c r="G266" s="9" t="n">
        <v>20635</v>
      </c>
      <c r="H266" s="9" t="n">
        <f aca="false">WEEKNUM(A266,21)</f>
        <v>20</v>
      </c>
      <c r="I266" s="8" t="n">
        <f aca="false">A266-WEEKDAY(A266,3)</f>
        <v>43962</v>
      </c>
      <c r="J266" s="10" t="n">
        <f aca="false">IFERROR(D266/E266,"")</f>
        <v>338589.048</v>
      </c>
      <c r="K266" s="11" t="n">
        <f aca="false">IFERROR(D266/F266,"")</f>
        <v>1898.68695886232</v>
      </c>
    </row>
    <row r="267" customFormat="false" ht="15" hidden="false" customHeight="false" outlineLevel="0" collapsed="false">
      <c r="A267" s="8" t="n">
        <v>43967</v>
      </c>
      <c r="B267" s="9" t="s">
        <v>36</v>
      </c>
      <c r="C267" s="10" t="n">
        <v>321412.5</v>
      </c>
      <c r="D267" s="10" t="n">
        <v>32235864</v>
      </c>
      <c r="E267" s="9" t="n">
        <v>129</v>
      </c>
      <c r="F267" s="9" t="n">
        <v>17914</v>
      </c>
      <c r="G267" s="9" t="n">
        <v>16631</v>
      </c>
      <c r="H267" s="9" t="n">
        <f aca="false">WEEKNUM(A267,21)</f>
        <v>20</v>
      </c>
      <c r="I267" s="8" t="n">
        <f aca="false">A267-WEEKDAY(A267,3)</f>
        <v>43962</v>
      </c>
      <c r="J267" s="10" t="n">
        <f aca="false">IFERROR(D267/E267,"")</f>
        <v>249890.418604651</v>
      </c>
      <c r="K267" s="11" t="n">
        <f aca="false">IFERROR(D267/F267,"")</f>
        <v>1799.47884336273</v>
      </c>
    </row>
    <row r="268" customFormat="false" ht="15" hidden="false" customHeight="false" outlineLevel="0" collapsed="false">
      <c r="A268" s="8" t="n">
        <v>43967</v>
      </c>
      <c r="B268" s="9" t="s">
        <v>37</v>
      </c>
      <c r="C268" s="10" t="n">
        <v>14265</v>
      </c>
      <c r="D268" s="10" t="n">
        <v>1130506.5</v>
      </c>
      <c r="E268" s="9" t="n">
        <v>10</v>
      </c>
      <c r="F268" s="9" t="n">
        <v>760</v>
      </c>
      <c r="G268" s="9" t="n">
        <v>672</v>
      </c>
      <c r="H268" s="9" t="n">
        <f aca="false">WEEKNUM(A268,21)</f>
        <v>20</v>
      </c>
      <c r="I268" s="8" t="n">
        <f aca="false">A268-WEEKDAY(A268,3)</f>
        <v>43962</v>
      </c>
      <c r="J268" s="10" t="n">
        <f aca="false">IFERROR(D268/E268,"")</f>
        <v>113050.65</v>
      </c>
      <c r="K268" s="11" t="n">
        <f aca="false">IFERROR(D268/F268,"")</f>
        <v>1487.50855263158</v>
      </c>
    </row>
    <row r="269" customFormat="false" ht="15" hidden="false" customHeight="false" outlineLevel="0" collapsed="false">
      <c r="A269" s="8" t="n">
        <v>43968</v>
      </c>
      <c r="B269" s="9" t="s">
        <v>25</v>
      </c>
      <c r="C269" s="10" t="n">
        <v>72861</v>
      </c>
      <c r="D269" s="10" t="n">
        <v>5952802.5</v>
      </c>
      <c r="E269" s="9" t="n">
        <v>36</v>
      </c>
      <c r="F269" s="9" t="n">
        <v>4918</v>
      </c>
      <c r="G269" s="9" t="n">
        <v>4554</v>
      </c>
      <c r="H269" s="9" t="n">
        <f aca="false">WEEKNUM(A269,21)</f>
        <v>20</v>
      </c>
      <c r="I269" s="8" t="n">
        <f aca="false">A269-WEEKDAY(A269,3)</f>
        <v>43962</v>
      </c>
      <c r="J269" s="10" t="n">
        <f aca="false">IFERROR(D269/E269,"")</f>
        <v>165355.625</v>
      </c>
      <c r="K269" s="11" t="n">
        <f aca="false">IFERROR(D269/F269,"")</f>
        <v>1210.4112444083</v>
      </c>
    </row>
    <row r="270" customFormat="false" ht="15" hidden="false" customHeight="false" outlineLevel="0" collapsed="false">
      <c r="A270" s="8" t="n">
        <v>43968</v>
      </c>
      <c r="B270" s="9" t="s">
        <v>26</v>
      </c>
      <c r="C270" s="10" t="n">
        <v>78057</v>
      </c>
      <c r="D270" s="10" t="n">
        <v>6774946.5</v>
      </c>
      <c r="E270" s="9" t="n">
        <v>31</v>
      </c>
      <c r="F270" s="9" t="n">
        <v>5206</v>
      </c>
      <c r="G270" s="9" t="n">
        <v>4843</v>
      </c>
      <c r="H270" s="9" t="n">
        <f aca="false">WEEKNUM(A270,21)</f>
        <v>20</v>
      </c>
      <c r="I270" s="8" t="n">
        <f aca="false">A270-WEEKDAY(A270,3)</f>
        <v>43962</v>
      </c>
      <c r="J270" s="10" t="n">
        <f aca="false">IFERROR(D270/E270,"")</f>
        <v>218546.661290323</v>
      </c>
      <c r="K270" s="11" t="n">
        <f aca="false">IFERROR(D270/F270,"")</f>
        <v>1301.37274298886</v>
      </c>
    </row>
    <row r="271" customFormat="false" ht="15" hidden="false" customHeight="false" outlineLevel="0" collapsed="false">
      <c r="A271" s="8" t="n">
        <v>43968</v>
      </c>
      <c r="B271" s="9" t="s">
        <v>27</v>
      </c>
      <c r="C271" s="10" t="n">
        <v>34830</v>
      </c>
      <c r="D271" s="10" t="n">
        <v>3191155.5</v>
      </c>
      <c r="E271" s="9" t="n">
        <v>21</v>
      </c>
      <c r="F271" s="9" t="n">
        <v>2054</v>
      </c>
      <c r="G271" s="9" t="n">
        <v>1883</v>
      </c>
      <c r="H271" s="9" t="n">
        <f aca="false">WEEKNUM(A271,21)</f>
        <v>20</v>
      </c>
      <c r="I271" s="8" t="n">
        <f aca="false">A271-WEEKDAY(A271,3)</f>
        <v>43962</v>
      </c>
      <c r="J271" s="10" t="n">
        <f aca="false">IFERROR(D271/E271,"")</f>
        <v>151959.785714286</v>
      </c>
      <c r="K271" s="11" t="n">
        <f aca="false">IFERROR(D271/F271,"")</f>
        <v>1553.62974683544</v>
      </c>
    </row>
    <row r="272" customFormat="false" ht="15" hidden="false" customHeight="false" outlineLevel="0" collapsed="false">
      <c r="A272" s="8" t="n">
        <v>43968</v>
      </c>
      <c r="B272" s="9" t="s">
        <v>28</v>
      </c>
      <c r="C272" s="10" t="n">
        <v>32023.5</v>
      </c>
      <c r="D272" s="10" t="n">
        <v>2882458.5</v>
      </c>
      <c r="E272" s="9" t="n">
        <v>21</v>
      </c>
      <c r="F272" s="9" t="n">
        <v>1874</v>
      </c>
      <c r="G272" s="9" t="n">
        <v>1705</v>
      </c>
      <c r="H272" s="9" t="n">
        <f aca="false">WEEKNUM(A272,21)</f>
        <v>20</v>
      </c>
      <c r="I272" s="8" t="n">
        <f aca="false">A272-WEEKDAY(A272,3)</f>
        <v>43962</v>
      </c>
      <c r="J272" s="10" t="n">
        <f aca="false">IFERROR(D272/E272,"")</f>
        <v>137259.928571429</v>
      </c>
      <c r="K272" s="11" t="n">
        <f aca="false">IFERROR(D272/F272,"")</f>
        <v>1538.13153681964</v>
      </c>
    </row>
    <row r="273" customFormat="false" ht="15" hidden="false" customHeight="false" outlineLevel="0" collapsed="false">
      <c r="A273" s="8" t="n">
        <v>43968</v>
      </c>
      <c r="B273" s="9" t="s">
        <v>29</v>
      </c>
      <c r="C273" s="10" t="n">
        <v>28275</v>
      </c>
      <c r="D273" s="10" t="n">
        <v>2435632.5</v>
      </c>
      <c r="E273" s="9" t="n">
        <v>19</v>
      </c>
      <c r="F273" s="9" t="n">
        <v>1790</v>
      </c>
      <c r="G273" s="9" t="n">
        <v>1633</v>
      </c>
      <c r="H273" s="9" t="n">
        <f aca="false">WEEKNUM(A273,21)</f>
        <v>20</v>
      </c>
      <c r="I273" s="8" t="n">
        <f aca="false">A273-WEEKDAY(A273,3)</f>
        <v>43962</v>
      </c>
      <c r="J273" s="10" t="n">
        <f aca="false">IFERROR(D273/E273,"")</f>
        <v>128191.184210526</v>
      </c>
      <c r="K273" s="11" t="n">
        <f aca="false">IFERROR(D273/F273,"")</f>
        <v>1360.68854748603</v>
      </c>
    </row>
    <row r="274" customFormat="false" ht="15" hidden="false" customHeight="false" outlineLevel="0" collapsed="false">
      <c r="A274" s="8" t="n">
        <v>43968</v>
      </c>
      <c r="B274" s="9" t="s">
        <v>30</v>
      </c>
      <c r="C274" s="10" t="n">
        <v>184801.5</v>
      </c>
      <c r="D274" s="10" t="n">
        <v>18449091</v>
      </c>
      <c r="E274" s="9" t="n">
        <v>54</v>
      </c>
      <c r="F274" s="9" t="n">
        <v>11128</v>
      </c>
      <c r="G274" s="9" t="n">
        <v>10467</v>
      </c>
      <c r="H274" s="9" t="n">
        <f aca="false">WEEKNUM(A274,21)</f>
        <v>20</v>
      </c>
      <c r="I274" s="8" t="n">
        <f aca="false">A274-WEEKDAY(A274,3)</f>
        <v>43962</v>
      </c>
      <c r="J274" s="10" t="n">
        <f aca="false">IFERROR(D274/E274,"")</f>
        <v>341649.833333333</v>
      </c>
      <c r="K274" s="11" t="n">
        <f aca="false">IFERROR(D274/F274,"")</f>
        <v>1657.89818475917</v>
      </c>
    </row>
    <row r="275" customFormat="false" ht="15" hidden="false" customHeight="false" outlineLevel="0" collapsed="false">
      <c r="A275" s="8" t="n">
        <v>43968</v>
      </c>
      <c r="B275" s="9" t="s">
        <v>31</v>
      </c>
      <c r="C275" s="10" t="n">
        <v>193363.5</v>
      </c>
      <c r="D275" s="10" t="n">
        <v>19546386</v>
      </c>
      <c r="E275" s="9" t="n">
        <v>60</v>
      </c>
      <c r="F275" s="9" t="n">
        <v>11698</v>
      </c>
      <c r="G275" s="9" t="n">
        <v>10989</v>
      </c>
      <c r="H275" s="9" t="n">
        <f aca="false">WEEKNUM(A275,21)</f>
        <v>20</v>
      </c>
      <c r="I275" s="8" t="n">
        <f aca="false">A275-WEEKDAY(A275,3)</f>
        <v>43962</v>
      </c>
      <c r="J275" s="10" t="n">
        <f aca="false">IFERROR(D275/E275,"")</f>
        <v>325773.1</v>
      </c>
      <c r="K275" s="11" t="n">
        <f aca="false">IFERROR(D275/F275,"")</f>
        <v>1670.91690887331</v>
      </c>
    </row>
    <row r="276" customFormat="false" ht="15" hidden="false" customHeight="false" outlineLevel="0" collapsed="false">
      <c r="A276" s="8" t="n">
        <v>43968</v>
      </c>
      <c r="B276" s="9" t="s">
        <v>32</v>
      </c>
      <c r="C276" s="10" t="n">
        <v>30486</v>
      </c>
      <c r="D276" s="10" t="n">
        <v>2694289.5</v>
      </c>
      <c r="E276" s="9" t="n">
        <v>19</v>
      </c>
      <c r="F276" s="9" t="n">
        <v>1871</v>
      </c>
      <c r="G276" s="9" t="n">
        <v>1660</v>
      </c>
      <c r="H276" s="9" t="n">
        <f aca="false">WEEKNUM(A276,21)</f>
        <v>20</v>
      </c>
      <c r="I276" s="8" t="n">
        <f aca="false">A276-WEEKDAY(A276,3)</f>
        <v>43962</v>
      </c>
      <c r="J276" s="10" t="n">
        <f aca="false">IFERROR(D276/E276,"")</f>
        <v>141804.710526316</v>
      </c>
      <c r="K276" s="11" t="n">
        <f aca="false">IFERROR(D276/F276,"")</f>
        <v>1440.02645644041</v>
      </c>
    </row>
    <row r="277" customFormat="false" ht="15" hidden="false" customHeight="false" outlineLevel="0" collapsed="false">
      <c r="A277" s="8" t="n">
        <v>43968</v>
      </c>
      <c r="B277" s="9" t="s">
        <v>33</v>
      </c>
      <c r="C277" s="10" t="n">
        <v>13440</v>
      </c>
      <c r="D277" s="10" t="n">
        <v>1157529</v>
      </c>
      <c r="E277" s="9" t="n">
        <v>16</v>
      </c>
      <c r="F277" s="9" t="n">
        <v>859</v>
      </c>
      <c r="G277" s="9" t="n">
        <v>746</v>
      </c>
      <c r="H277" s="9" t="n">
        <f aca="false">WEEKNUM(A277,21)</f>
        <v>20</v>
      </c>
      <c r="I277" s="8" t="n">
        <f aca="false">A277-WEEKDAY(A277,3)</f>
        <v>43962</v>
      </c>
      <c r="J277" s="10" t="n">
        <f aca="false">IFERROR(D277/E277,"")</f>
        <v>72345.5625</v>
      </c>
      <c r="K277" s="11" t="n">
        <f aca="false">IFERROR(D277/F277,"")</f>
        <v>1347.53084982538</v>
      </c>
    </row>
    <row r="278" customFormat="false" ht="15" hidden="false" customHeight="false" outlineLevel="0" collapsed="false">
      <c r="A278" s="8" t="n">
        <v>43968</v>
      </c>
      <c r="B278" s="9" t="s">
        <v>34</v>
      </c>
      <c r="C278" s="10" t="n">
        <v>15609</v>
      </c>
      <c r="D278" s="10" t="n">
        <v>1377577.5</v>
      </c>
      <c r="E278" s="9" t="n">
        <v>15</v>
      </c>
      <c r="F278" s="9" t="n">
        <v>971</v>
      </c>
      <c r="G278" s="9" t="n">
        <v>856</v>
      </c>
      <c r="H278" s="9" t="n">
        <f aca="false">WEEKNUM(A278,21)</f>
        <v>20</v>
      </c>
      <c r="I278" s="8" t="n">
        <f aca="false">A278-WEEKDAY(A278,3)</f>
        <v>43962</v>
      </c>
      <c r="J278" s="10" t="n">
        <f aca="false">IFERROR(D278/E278,"")</f>
        <v>91838.5</v>
      </c>
      <c r="K278" s="11" t="n">
        <f aca="false">IFERROR(D278/F278,"")</f>
        <v>1418.72039134912</v>
      </c>
    </row>
    <row r="279" customFormat="false" ht="15" hidden="false" customHeight="false" outlineLevel="0" collapsed="false">
      <c r="A279" s="8" t="n">
        <v>43968</v>
      </c>
      <c r="B279" s="9" t="s">
        <v>38</v>
      </c>
      <c r="C279" s="10" t="n">
        <v>11967</v>
      </c>
      <c r="D279" s="10" t="n">
        <v>1060489.5</v>
      </c>
      <c r="E279" s="9" t="n">
        <v>15</v>
      </c>
      <c r="F279" s="9" t="n">
        <v>692</v>
      </c>
      <c r="G279" s="9" t="n">
        <v>591</v>
      </c>
      <c r="H279" s="9" t="n">
        <f aca="false">WEEKNUM(A279,21)</f>
        <v>20</v>
      </c>
      <c r="I279" s="8" t="n">
        <f aca="false">A279-WEEKDAY(A279,3)</f>
        <v>43962</v>
      </c>
      <c r="J279" s="10" t="n">
        <f aca="false">IFERROR(D279/E279,"")</f>
        <v>70699.3</v>
      </c>
      <c r="K279" s="11" t="n">
        <f aca="false">IFERROR(D279/F279,"")</f>
        <v>1532.49927745665</v>
      </c>
    </row>
    <row r="280" customFormat="false" ht="15" hidden="false" customHeight="false" outlineLevel="0" collapsed="false">
      <c r="A280" s="8" t="n">
        <v>43968</v>
      </c>
      <c r="B280" s="9" t="s">
        <v>35</v>
      </c>
      <c r="C280" s="10" t="n">
        <v>357072</v>
      </c>
      <c r="D280" s="10" t="n">
        <v>36834567</v>
      </c>
      <c r="E280" s="9" t="n">
        <v>125</v>
      </c>
      <c r="F280" s="9" t="n">
        <v>20079</v>
      </c>
      <c r="G280" s="9" t="n">
        <v>18721</v>
      </c>
      <c r="H280" s="9" t="n">
        <f aca="false">WEEKNUM(A280,21)</f>
        <v>20</v>
      </c>
      <c r="I280" s="8" t="n">
        <f aca="false">A280-WEEKDAY(A280,3)</f>
        <v>43962</v>
      </c>
      <c r="J280" s="10" t="n">
        <f aca="false">IFERROR(D280/E280,"")</f>
        <v>294676.536</v>
      </c>
      <c r="K280" s="11" t="n">
        <f aca="false">IFERROR(D280/F280,"")</f>
        <v>1834.48214552518</v>
      </c>
    </row>
    <row r="281" customFormat="false" ht="15" hidden="false" customHeight="false" outlineLevel="0" collapsed="false">
      <c r="A281" s="8" t="n">
        <v>43968</v>
      </c>
      <c r="B281" s="9" t="s">
        <v>36</v>
      </c>
      <c r="C281" s="10" t="n">
        <v>269029.5</v>
      </c>
      <c r="D281" s="10" t="n">
        <v>26659930.5</v>
      </c>
      <c r="E281" s="9" t="n">
        <v>129</v>
      </c>
      <c r="F281" s="9" t="n">
        <v>15744</v>
      </c>
      <c r="G281" s="9" t="n">
        <v>14685</v>
      </c>
      <c r="H281" s="9" t="n">
        <f aca="false">WEEKNUM(A281,21)</f>
        <v>20</v>
      </c>
      <c r="I281" s="8" t="n">
        <f aca="false">A281-WEEKDAY(A281,3)</f>
        <v>43962</v>
      </c>
      <c r="J281" s="10" t="n">
        <f aca="false">IFERROR(D281/E281,"")</f>
        <v>206666.127906977</v>
      </c>
      <c r="K281" s="11" t="n">
        <f aca="false">IFERROR(D281/F281,"")</f>
        <v>1693.33908155488</v>
      </c>
    </row>
    <row r="282" customFormat="false" ht="15" hidden="false" customHeight="false" outlineLevel="0" collapsed="false">
      <c r="A282" s="8" t="n">
        <v>43968</v>
      </c>
      <c r="B282" s="9" t="s">
        <v>37</v>
      </c>
      <c r="C282" s="10" t="n">
        <v>10402.5</v>
      </c>
      <c r="D282" s="10" t="n">
        <v>843727.5</v>
      </c>
      <c r="E282" s="9" t="n">
        <v>10</v>
      </c>
      <c r="F282" s="9" t="n">
        <v>591</v>
      </c>
      <c r="G282" s="9" t="n">
        <v>513</v>
      </c>
      <c r="H282" s="9" t="n">
        <f aca="false">WEEKNUM(A282,21)</f>
        <v>20</v>
      </c>
      <c r="I282" s="8" t="n">
        <f aca="false">A282-WEEKDAY(A282,3)</f>
        <v>43962</v>
      </c>
      <c r="J282" s="10" t="n">
        <f aca="false">IFERROR(D282/E282,"")</f>
        <v>84372.75</v>
      </c>
      <c r="K282" s="11" t="n">
        <f aca="false">IFERROR(D282/F282,"")</f>
        <v>1427.6269035533</v>
      </c>
    </row>
    <row r="283" customFormat="false" ht="15" hidden="false" customHeight="false" outlineLevel="0" collapsed="false">
      <c r="A283" s="8" t="n">
        <v>43969</v>
      </c>
      <c r="B283" s="9" t="s">
        <v>25</v>
      </c>
      <c r="C283" s="10" t="n">
        <v>70278</v>
      </c>
      <c r="D283" s="10" t="n">
        <v>5798476.5</v>
      </c>
      <c r="E283" s="9" t="n">
        <v>36</v>
      </c>
      <c r="F283" s="9" t="n">
        <v>4885</v>
      </c>
      <c r="G283" s="9" t="n">
        <v>4502</v>
      </c>
      <c r="H283" s="9" t="n">
        <f aca="false">WEEKNUM(A283,21)</f>
        <v>21</v>
      </c>
      <c r="I283" s="8" t="n">
        <f aca="false">A283-WEEKDAY(A283,3)</f>
        <v>43969</v>
      </c>
      <c r="J283" s="10" t="n">
        <f aca="false">IFERROR(D283/E283,"")</f>
        <v>161068.791666667</v>
      </c>
      <c r="K283" s="11" t="n">
        <f aca="false">IFERROR(D283/F283,"")</f>
        <v>1186.99621289662</v>
      </c>
    </row>
    <row r="284" customFormat="false" ht="15" hidden="false" customHeight="false" outlineLevel="0" collapsed="false">
      <c r="A284" s="8" t="n">
        <v>43969</v>
      </c>
      <c r="B284" s="9" t="s">
        <v>26</v>
      </c>
      <c r="C284" s="10" t="n">
        <v>78058.5</v>
      </c>
      <c r="D284" s="10" t="n">
        <v>6609714</v>
      </c>
      <c r="E284" s="9" t="n">
        <v>31</v>
      </c>
      <c r="F284" s="9" t="n">
        <v>5165</v>
      </c>
      <c r="G284" s="9" t="n">
        <v>4813</v>
      </c>
      <c r="H284" s="9" t="n">
        <f aca="false">WEEKNUM(A284,21)</f>
        <v>21</v>
      </c>
      <c r="I284" s="8" t="n">
        <f aca="false">A284-WEEKDAY(A284,3)</f>
        <v>43969</v>
      </c>
      <c r="J284" s="10" t="n">
        <f aca="false">IFERROR(D284/E284,"")</f>
        <v>213216.580645161</v>
      </c>
      <c r="K284" s="11" t="n">
        <f aca="false">IFERROR(D284/F284,"")</f>
        <v>1279.71229428848</v>
      </c>
    </row>
    <row r="285" customFormat="false" ht="15" hidden="false" customHeight="false" outlineLevel="0" collapsed="false">
      <c r="A285" s="8" t="n">
        <v>43969</v>
      </c>
      <c r="B285" s="9" t="s">
        <v>27</v>
      </c>
      <c r="C285" s="10" t="n">
        <v>36655.5</v>
      </c>
      <c r="D285" s="10" t="n">
        <v>3360135</v>
      </c>
      <c r="E285" s="9" t="n">
        <v>21</v>
      </c>
      <c r="F285" s="9" t="n">
        <v>2136</v>
      </c>
      <c r="G285" s="9" t="n">
        <v>1947</v>
      </c>
      <c r="H285" s="9" t="n">
        <f aca="false">WEEKNUM(A285,21)</f>
        <v>21</v>
      </c>
      <c r="I285" s="8" t="n">
        <f aca="false">A285-WEEKDAY(A285,3)</f>
        <v>43969</v>
      </c>
      <c r="J285" s="10" t="n">
        <f aca="false">IFERROR(D285/E285,"")</f>
        <v>160006.428571429</v>
      </c>
      <c r="K285" s="11" t="n">
        <f aca="false">IFERROR(D285/F285,"")</f>
        <v>1573.09691011236</v>
      </c>
    </row>
    <row r="286" customFormat="false" ht="15" hidden="false" customHeight="false" outlineLevel="0" collapsed="false">
      <c r="A286" s="8" t="n">
        <v>43969</v>
      </c>
      <c r="B286" s="9" t="s">
        <v>28</v>
      </c>
      <c r="C286" s="10" t="n">
        <v>31329</v>
      </c>
      <c r="D286" s="10" t="n">
        <v>2826379.5</v>
      </c>
      <c r="E286" s="9" t="n">
        <v>21</v>
      </c>
      <c r="F286" s="9" t="n">
        <v>1834</v>
      </c>
      <c r="G286" s="9" t="n">
        <v>1660</v>
      </c>
      <c r="H286" s="9" t="n">
        <f aca="false">WEEKNUM(A286,21)</f>
        <v>21</v>
      </c>
      <c r="I286" s="8" t="n">
        <f aca="false">A286-WEEKDAY(A286,3)</f>
        <v>43969</v>
      </c>
      <c r="J286" s="10" t="n">
        <f aca="false">IFERROR(D286/E286,"")</f>
        <v>134589.5</v>
      </c>
      <c r="K286" s="11" t="n">
        <f aca="false">IFERROR(D286/F286,"")</f>
        <v>1541.10114503817</v>
      </c>
    </row>
    <row r="287" customFormat="false" ht="15" hidden="false" customHeight="false" outlineLevel="0" collapsed="false">
      <c r="A287" s="8" t="n">
        <v>43969</v>
      </c>
      <c r="B287" s="9" t="s">
        <v>29</v>
      </c>
      <c r="C287" s="10" t="n">
        <v>27181.5</v>
      </c>
      <c r="D287" s="10" t="n">
        <v>2324490</v>
      </c>
      <c r="E287" s="9" t="n">
        <v>19</v>
      </c>
      <c r="F287" s="9" t="n">
        <v>1741</v>
      </c>
      <c r="G287" s="9" t="n">
        <v>1597</v>
      </c>
      <c r="H287" s="9" t="n">
        <f aca="false">WEEKNUM(A287,21)</f>
        <v>21</v>
      </c>
      <c r="I287" s="8" t="n">
        <f aca="false">A287-WEEKDAY(A287,3)</f>
        <v>43969</v>
      </c>
      <c r="J287" s="10" t="n">
        <f aca="false">IFERROR(D287/E287,"")</f>
        <v>122341.578947368</v>
      </c>
      <c r="K287" s="11" t="n">
        <f aca="false">IFERROR(D287/F287,"")</f>
        <v>1335.14646754739</v>
      </c>
    </row>
    <row r="288" customFormat="false" ht="15" hidden="false" customHeight="false" outlineLevel="0" collapsed="false">
      <c r="A288" s="8" t="n">
        <v>43969</v>
      </c>
      <c r="B288" s="9" t="s">
        <v>30</v>
      </c>
      <c r="C288" s="10" t="n">
        <v>196560</v>
      </c>
      <c r="D288" s="10" t="n">
        <v>19855122</v>
      </c>
      <c r="E288" s="9" t="n">
        <v>54</v>
      </c>
      <c r="F288" s="9" t="n">
        <v>12012</v>
      </c>
      <c r="G288" s="9" t="n">
        <v>11308</v>
      </c>
      <c r="H288" s="9" t="n">
        <f aca="false">WEEKNUM(A288,21)</f>
        <v>21</v>
      </c>
      <c r="I288" s="8" t="n">
        <f aca="false">A288-WEEKDAY(A288,3)</f>
        <v>43969</v>
      </c>
      <c r="J288" s="10" t="n">
        <f aca="false">IFERROR(D288/E288,"")</f>
        <v>367687.444444444</v>
      </c>
      <c r="K288" s="11" t="n">
        <f aca="false">IFERROR(D288/F288,"")</f>
        <v>1652.94055944056</v>
      </c>
    </row>
    <row r="289" customFormat="false" ht="15" hidden="false" customHeight="false" outlineLevel="0" collapsed="false">
      <c r="A289" s="8" t="n">
        <v>43969</v>
      </c>
      <c r="B289" s="9" t="s">
        <v>31</v>
      </c>
      <c r="C289" s="10" t="n">
        <v>201999</v>
      </c>
      <c r="D289" s="10" t="n">
        <v>20422435.5</v>
      </c>
      <c r="E289" s="9" t="n">
        <v>60</v>
      </c>
      <c r="F289" s="9" t="n">
        <v>12460</v>
      </c>
      <c r="G289" s="9" t="n">
        <v>11665</v>
      </c>
      <c r="H289" s="9" t="n">
        <f aca="false">WEEKNUM(A289,21)</f>
        <v>21</v>
      </c>
      <c r="I289" s="8" t="n">
        <f aca="false">A289-WEEKDAY(A289,3)</f>
        <v>43969</v>
      </c>
      <c r="J289" s="10" t="n">
        <f aca="false">IFERROR(D289/E289,"")</f>
        <v>340373.925</v>
      </c>
      <c r="K289" s="11" t="n">
        <f aca="false">IFERROR(D289/F289,"")</f>
        <v>1639.03976725522</v>
      </c>
    </row>
    <row r="290" customFormat="false" ht="15" hidden="false" customHeight="false" outlineLevel="0" collapsed="false">
      <c r="A290" s="8" t="n">
        <v>43969</v>
      </c>
      <c r="B290" s="9" t="s">
        <v>32</v>
      </c>
      <c r="C290" s="10" t="n">
        <v>28668</v>
      </c>
      <c r="D290" s="10" t="n">
        <v>2588148</v>
      </c>
      <c r="E290" s="9" t="n">
        <v>19</v>
      </c>
      <c r="F290" s="9" t="n">
        <v>1858</v>
      </c>
      <c r="G290" s="9" t="n">
        <v>1648</v>
      </c>
      <c r="H290" s="9" t="n">
        <f aca="false">WEEKNUM(A290,21)</f>
        <v>21</v>
      </c>
      <c r="I290" s="8" t="n">
        <f aca="false">A290-WEEKDAY(A290,3)</f>
        <v>43969</v>
      </c>
      <c r="J290" s="10" t="n">
        <f aca="false">IFERROR(D290/E290,"")</f>
        <v>136218.315789474</v>
      </c>
      <c r="K290" s="11" t="n">
        <f aca="false">IFERROR(D290/F290,"")</f>
        <v>1392.97524219591</v>
      </c>
    </row>
    <row r="291" customFormat="false" ht="15" hidden="false" customHeight="false" outlineLevel="0" collapsed="false">
      <c r="A291" s="8" t="n">
        <v>43969</v>
      </c>
      <c r="B291" s="9" t="s">
        <v>33</v>
      </c>
      <c r="C291" s="10" t="n">
        <v>14497.5</v>
      </c>
      <c r="D291" s="10" t="n">
        <v>1230711</v>
      </c>
      <c r="E291" s="9" t="n">
        <v>16</v>
      </c>
      <c r="F291" s="9" t="n">
        <v>864</v>
      </c>
      <c r="G291" s="9" t="n">
        <v>765</v>
      </c>
      <c r="H291" s="9" t="n">
        <f aca="false">WEEKNUM(A291,21)</f>
        <v>21</v>
      </c>
      <c r="I291" s="8" t="n">
        <f aca="false">A291-WEEKDAY(A291,3)</f>
        <v>43969</v>
      </c>
      <c r="J291" s="10" t="n">
        <f aca="false">IFERROR(D291/E291,"")</f>
        <v>76919.4375</v>
      </c>
      <c r="K291" s="11" t="n">
        <f aca="false">IFERROR(D291/F291,"")</f>
        <v>1424.43402777778</v>
      </c>
    </row>
    <row r="292" customFormat="false" ht="15" hidden="false" customHeight="false" outlineLevel="0" collapsed="false">
      <c r="A292" s="8" t="n">
        <v>43969</v>
      </c>
      <c r="B292" s="9" t="s">
        <v>34</v>
      </c>
      <c r="C292" s="10" t="n">
        <v>14290.5</v>
      </c>
      <c r="D292" s="10" t="n">
        <v>1246162.5</v>
      </c>
      <c r="E292" s="9" t="n">
        <v>16</v>
      </c>
      <c r="F292" s="9" t="n">
        <v>925</v>
      </c>
      <c r="G292" s="9" t="n">
        <v>816</v>
      </c>
      <c r="H292" s="9" t="n">
        <f aca="false">WEEKNUM(A292,21)</f>
        <v>21</v>
      </c>
      <c r="I292" s="8" t="n">
        <f aca="false">A292-WEEKDAY(A292,3)</f>
        <v>43969</v>
      </c>
      <c r="J292" s="10" t="n">
        <f aca="false">IFERROR(D292/E292,"")</f>
        <v>77885.15625</v>
      </c>
      <c r="K292" s="11" t="n">
        <f aca="false">IFERROR(D292/F292,"")</f>
        <v>1347.2027027027</v>
      </c>
    </row>
    <row r="293" customFormat="false" ht="15" hidden="false" customHeight="false" outlineLevel="0" collapsed="false">
      <c r="A293" s="8" t="n">
        <v>43969</v>
      </c>
      <c r="B293" s="9" t="s">
        <v>38</v>
      </c>
      <c r="C293" s="10" t="n">
        <v>12450</v>
      </c>
      <c r="D293" s="10" t="n">
        <v>1115146.5</v>
      </c>
      <c r="E293" s="9" t="n">
        <v>15</v>
      </c>
      <c r="F293" s="9" t="n">
        <v>729</v>
      </c>
      <c r="G293" s="9" t="n">
        <v>636</v>
      </c>
      <c r="H293" s="9" t="n">
        <f aca="false">WEEKNUM(A293,21)</f>
        <v>21</v>
      </c>
      <c r="I293" s="8" t="n">
        <f aca="false">A293-WEEKDAY(A293,3)</f>
        <v>43969</v>
      </c>
      <c r="J293" s="10" t="n">
        <f aca="false">IFERROR(D293/E293,"")</f>
        <v>74343.1</v>
      </c>
      <c r="K293" s="11" t="n">
        <f aca="false">IFERROR(D293/F293,"")</f>
        <v>1529.69341563786</v>
      </c>
    </row>
    <row r="294" customFormat="false" ht="15" hidden="false" customHeight="false" outlineLevel="0" collapsed="false">
      <c r="A294" s="8" t="n">
        <v>43969</v>
      </c>
      <c r="B294" s="9" t="s">
        <v>35</v>
      </c>
      <c r="C294" s="10" t="n">
        <v>355081.5</v>
      </c>
      <c r="D294" s="10" t="n">
        <v>36876888</v>
      </c>
      <c r="E294" s="9" t="n">
        <v>125</v>
      </c>
      <c r="F294" s="9" t="n">
        <v>20449</v>
      </c>
      <c r="G294" s="9" t="n">
        <v>19060</v>
      </c>
      <c r="H294" s="9" t="n">
        <f aca="false">WEEKNUM(A294,21)</f>
        <v>21</v>
      </c>
      <c r="I294" s="8" t="n">
        <f aca="false">A294-WEEKDAY(A294,3)</f>
        <v>43969</v>
      </c>
      <c r="J294" s="10" t="n">
        <f aca="false">IFERROR(D294/E294,"")</f>
        <v>295015.104</v>
      </c>
      <c r="K294" s="11" t="n">
        <f aca="false">IFERROR(D294/F294,"")</f>
        <v>1803.35899065969</v>
      </c>
    </row>
    <row r="295" customFormat="false" ht="15" hidden="false" customHeight="false" outlineLevel="0" collapsed="false">
      <c r="A295" s="8" t="n">
        <v>43969</v>
      </c>
      <c r="B295" s="9" t="s">
        <v>36</v>
      </c>
      <c r="C295" s="10" t="n">
        <v>273900</v>
      </c>
      <c r="D295" s="10" t="n">
        <v>27535284.1476</v>
      </c>
      <c r="E295" s="9" t="n">
        <v>129</v>
      </c>
      <c r="F295" s="9" t="n">
        <v>16110</v>
      </c>
      <c r="G295" s="9" t="n">
        <v>14992</v>
      </c>
      <c r="H295" s="9" t="n">
        <f aca="false">WEEKNUM(A295,21)</f>
        <v>21</v>
      </c>
      <c r="I295" s="8" t="n">
        <f aca="false">A295-WEEKDAY(A295,3)</f>
        <v>43969</v>
      </c>
      <c r="J295" s="10" t="n">
        <f aca="false">IFERROR(D295/E295,"")</f>
        <v>213451.815097674</v>
      </c>
      <c r="K295" s="11" t="n">
        <f aca="false">IFERROR(D295/F295,"")</f>
        <v>1709.20447843575</v>
      </c>
    </row>
    <row r="296" customFormat="false" ht="15" hidden="false" customHeight="false" outlineLevel="0" collapsed="false">
      <c r="A296" s="8" t="n">
        <v>43969</v>
      </c>
      <c r="B296" s="9" t="s">
        <v>37</v>
      </c>
      <c r="C296" s="10" t="n">
        <v>11680.5</v>
      </c>
      <c r="D296" s="10" t="n">
        <v>936427.5</v>
      </c>
      <c r="E296" s="9" t="n">
        <v>10</v>
      </c>
      <c r="F296" s="9" t="n">
        <v>645</v>
      </c>
      <c r="G296" s="9" t="n">
        <v>565</v>
      </c>
      <c r="H296" s="9" t="n">
        <f aca="false">WEEKNUM(A296,21)</f>
        <v>21</v>
      </c>
      <c r="I296" s="8" t="n">
        <f aca="false">A296-WEEKDAY(A296,3)</f>
        <v>43969</v>
      </c>
      <c r="J296" s="10" t="n">
        <f aca="false">IFERROR(D296/E296,"")</f>
        <v>93642.75</v>
      </c>
      <c r="K296" s="11" t="n">
        <f aca="false">IFERROR(D296/F296,"")</f>
        <v>1451.82558139535</v>
      </c>
    </row>
    <row r="297" customFormat="false" ht="15" hidden="false" customHeight="false" outlineLevel="0" collapsed="false">
      <c r="A297" s="8" t="n">
        <v>43970</v>
      </c>
      <c r="B297" s="9" t="s">
        <v>25</v>
      </c>
      <c r="C297" s="10" t="n">
        <v>75796.5</v>
      </c>
      <c r="D297" s="10" t="n">
        <v>6173463</v>
      </c>
      <c r="E297" s="9" t="n">
        <v>36</v>
      </c>
      <c r="F297" s="9" t="n">
        <v>5094</v>
      </c>
      <c r="G297" s="9" t="n">
        <v>4716</v>
      </c>
      <c r="H297" s="9" t="n">
        <f aca="false">WEEKNUM(A297,21)</f>
        <v>21</v>
      </c>
      <c r="I297" s="8" t="n">
        <f aca="false">A297-WEEKDAY(A297,3)</f>
        <v>43969</v>
      </c>
      <c r="J297" s="10" t="n">
        <f aca="false">IFERROR(D297/E297,"")</f>
        <v>171485.083333333</v>
      </c>
      <c r="K297" s="11" t="n">
        <f aca="false">IFERROR(D297/F297,"")</f>
        <v>1211.90871613663</v>
      </c>
    </row>
    <row r="298" customFormat="false" ht="15" hidden="false" customHeight="false" outlineLevel="0" collapsed="false">
      <c r="A298" s="8" t="n">
        <v>43970</v>
      </c>
      <c r="B298" s="9" t="s">
        <v>26</v>
      </c>
      <c r="C298" s="10" t="n">
        <v>84024</v>
      </c>
      <c r="D298" s="10" t="n">
        <v>6815511</v>
      </c>
      <c r="E298" s="9" t="n">
        <v>31</v>
      </c>
      <c r="F298" s="9" t="n">
        <v>5389</v>
      </c>
      <c r="G298" s="9" t="n">
        <v>5024</v>
      </c>
      <c r="H298" s="9" t="n">
        <f aca="false">WEEKNUM(A298,21)</f>
        <v>21</v>
      </c>
      <c r="I298" s="8" t="n">
        <f aca="false">A298-WEEKDAY(A298,3)</f>
        <v>43969</v>
      </c>
      <c r="J298" s="10" t="n">
        <f aca="false">IFERROR(D298/E298,"")</f>
        <v>219855.193548387</v>
      </c>
      <c r="K298" s="11" t="n">
        <f aca="false">IFERROR(D298/F298,"")</f>
        <v>1264.70792354797</v>
      </c>
    </row>
    <row r="299" customFormat="false" ht="15" hidden="false" customHeight="false" outlineLevel="0" collapsed="false">
      <c r="A299" s="8" t="n">
        <v>43970</v>
      </c>
      <c r="B299" s="9" t="s">
        <v>27</v>
      </c>
      <c r="C299" s="10" t="n">
        <v>38250</v>
      </c>
      <c r="D299" s="10" t="n">
        <v>3552937.5</v>
      </c>
      <c r="E299" s="9" t="n">
        <v>21</v>
      </c>
      <c r="F299" s="9" t="n">
        <v>2245</v>
      </c>
      <c r="G299" s="9" t="n">
        <v>2053</v>
      </c>
      <c r="H299" s="9" t="n">
        <f aca="false">WEEKNUM(A299,21)</f>
        <v>21</v>
      </c>
      <c r="I299" s="8" t="n">
        <f aca="false">A299-WEEKDAY(A299,3)</f>
        <v>43969</v>
      </c>
      <c r="J299" s="10" t="n">
        <f aca="false">IFERROR(D299/E299,"")</f>
        <v>169187.5</v>
      </c>
      <c r="K299" s="11" t="n">
        <f aca="false">IFERROR(D299/F299,"")</f>
        <v>1582.60022271715</v>
      </c>
    </row>
    <row r="300" customFormat="false" ht="15" hidden="false" customHeight="false" outlineLevel="0" collapsed="false">
      <c r="A300" s="8" t="n">
        <v>43970</v>
      </c>
      <c r="B300" s="9" t="s">
        <v>28</v>
      </c>
      <c r="C300" s="10" t="n">
        <v>31842</v>
      </c>
      <c r="D300" s="10" t="n">
        <v>2771116.5</v>
      </c>
      <c r="E300" s="9" t="n">
        <v>21</v>
      </c>
      <c r="F300" s="9" t="n">
        <v>1860</v>
      </c>
      <c r="G300" s="9" t="n">
        <v>1704</v>
      </c>
      <c r="H300" s="9" t="n">
        <f aca="false">WEEKNUM(A300,21)</f>
        <v>21</v>
      </c>
      <c r="I300" s="8" t="n">
        <f aca="false">A300-WEEKDAY(A300,3)</f>
        <v>43969</v>
      </c>
      <c r="J300" s="10" t="n">
        <f aca="false">IFERROR(D300/E300,"")</f>
        <v>131957.928571429</v>
      </c>
      <c r="K300" s="11" t="n">
        <f aca="false">IFERROR(D300/F300,"")</f>
        <v>1489.84758064516</v>
      </c>
    </row>
    <row r="301" customFormat="false" ht="15" hidden="false" customHeight="false" outlineLevel="0" collapsed="false">
      <c r="A301" s="8" t="n">
        <v>43970</v>
      </c>
      <c r="B301" s="9" t="s">
        <v>29</v>
      </c>
      <c r="C301" s="10" t="n">
        <v>28882.5</v>
      </c>
      <c r="D301" s="10" t="n">
        <v>2446530</v>
      </c>
      <c r="E301" s="9" t="n">
        <v>19</v>
      </c>
      <c r="F301" s="9" t="n">
        <v>1831</v>
      </c>
      <c r="G301" s="9" t="n">
        <v>1667</v>
      </c>
      <c r="H301" s="9" t="n">
        <f aca="false">WEEKNUM(A301,21)</f>
        <v>21</v>
      </c>
      <c r="I301" s="8" t="n">
        <f aca="false">A301-WEEKDAY(A301,3)</f>
        <v>43969</v>
      </c>
      <c r="J301" s="10" t="n">
        <f aca="false">IFERROR(D301/E301,"")</f>
        <v>128764.736842105</v>
      </c>
      <c r="K301" s="11" t="n">
        <f aca="false">IFERROR(D301/F301,"")</f>
        <v>1336.17149098853</v>
      </c>
    </row>
    <row r="302" customFormat="false" ht="15" hidden="false" customHeight="false" outlineLevel="0" collapsed="false">
      <c r="A302" s="8" t="n">
        <v>43970</v>
      </c>
      <c r="B302" s="9" t="s">
        <v>30</v>
      </c>
      <c r="C302" s="10" t="n">
        <v>211453.5</v>
      </c>
      <c r="D302" s="10" t="n">
        <v>20590072.5</v>
      </c>
      <c r="E302" s="9" t="n">
        <v>54</v>
      </c>
      <c r="F302" s="9" t="n">
        <v>13070</v>
      </c>
      <c r="G302" s="9" t="n">
        <v>12244</v>
      </c>
      <c r="H302" s="9" t="n">
        <f aca="false">WEEKNUM(A302,21)</f>
        <v>21</v>
      </c>
      <c r="I302" s="8" t="n">
        <f aca="false">A302-WEEKDAY(A302,3)</f>
        <v>43969</v>
      </c>
      <c r="J302" s="10" t="n">
        <f aca="false">IFERROR(D302/E302,"")</f>
        <v>381297.638888889</v>
      </c>
      <c r="K302" s="11" t="n">
        <f aca="false">IFERROR(D302/F302,"")</f>
        <v>1575.36897475134</v>
      </c>
    </row>
    <row r="303" customFormat="false" ht="15" hidden="false" customHeight="false" outlineLevel="0" collapsed="false">
      <c r="A303" s="8" t="n">
        <v>43970</v>
      </c>
      <c r="B303" s="9" t="s">
        <v>31</v>
      </c>
      <c r="C303" s="10" t="n">
        <v>223597.5</v>
      </c>
      <c r="D303" s="10" t="n">
        <v>21945858</v>
      </c>
      <c r="E303" s="9" t="n">
        <v>60</v>
      </c>
      <c r="F303" s="9" t="n">
        <v>13867</v>
      </c>
      <c r="G303" s="9" t="n">
        <v>12987</v>
      </c>
      <c r="H303" s="9" t="n">
        <f aca="false">WEEKNUM(A303,21)</f>
        <v>21</v>
      </c>
      <c r="I303" s="8" t="n">
        <f aca="false">A303-WEEKDAY(A303,3)</f>
        <v>43969</v>
      </c>
      <c r="J303" s="10" t="n">
        <f aca="false">IFERROR(D303/E303,"")</f>
        <v>365764.3</v>
      </c>
      <c r="K303" s="11" t="n">
        <f aca="false">IFERROR(D303/F303,"")</f>
        <v>1582.59594721281</v>
      </c>
    </row>
    <row r="304" customFormat="false" ht="15" hidden="false" customHeight="false" outlineLevel="0" collapsed="false">
      <c r="A304" s="8" t="n">
        <v>43970</v>
      </c>
      <c r="B304" s="9" t="s">
        <v>32</v>
      </c>
      <c r="C304" s="10" t="n">
        <v>32434.5</v>
      </c>
      <c r="D304" s="10" t="n">
        <v>2865337.5</v>
      </c>
      <c r="E304" s="9" t="n">
        <v>19</v>
      </c>
      <c r="F304" s="9" t="n">
        <v>1999</v>
      </c>
      <c r="G304" s="9" t="n">
        <v>1799</v>
      </c>
      <c r="H304" s="9" t="n">
        <f aca="false">WEEKNUM(A304,21)</f>
        <v>21</v>
      </c>
      <c r="I304" s="8" t="n">
        <f aca="false">A304-WEEKDAY(A304,3)</f>
        <v>43969</v>
      </c>
      <c r="J304" s="10" t="n">
        <f aca="false">IFERROR(D304/E304,"")</f>
        <v>150807.236842105</v>
      </c>
      <c r="K304" s="11" t="n">
        <f aca="false">IFERROR(D304/F304,"")</f>
        <v>1433.38544272136</v>
      </c>
    </row>
    <row r="305" customFormat="false" ht="15" hidden="false" customHeight="false" outlineLevel="0" collapsed="false">
      <c r="A305" s="8" t="n">
        <v>43970</v>
      </c>
      <c r="B305" s="9" t="s">
        <v>33</v>
      </c>
      <c r="C305" s="10" t="n">
        <v>14427</v>
      </c>
      <c r="D305" s="10" t="n">
        <v>1126810.5</v>
      </c>
      <c r="E305" s="9" t="n">
        <v>17</v>
      </c>
      <c r="F305" s="9" t="n">
        <v>857</v>
      </c>
      <c r="G305" s="9" t="n">
        <v>757</v>
      </c>
      <c r="H305" s="9" t="n">
        <f aca="false">WEEKNUM(A305,21)</f>
        <v>21</v>
      </c>
      <c r="I305" s="8" t="n">
        <f aca="false">A305-WEEKDAY(A305,3)</f>
        <v>43969</v>
      </c>
      <c r="J305" s="10" t="n">
        <f aca="false">IFERROR(D305/E305,"")</f>
        <v>66282.9705882353</v>
      </c>
      <c r="K305" s="11" t="n">
        <f aca="false">IFERROR(D305/F305,"")</f>
        <v>1314.83138856476</v>
      </c>
    </row>
    <row r="306" customFormat="false" ht="15" hidden="false" customHeight="false" outlineLevel="0" collapsed="false">
      <c r="A306" s="8" t="n">
        <v>43970</v>
      </c>
      <c r="B306" s="9" t="s">
        <v>34</v>
      </c>
      <c r="C306" s="10" t="n">
        <v>16638</v>
      </c>
      <c r="D306" s="10" t="n">
        <v>1364847</v>
      </c>
      <c r="E306" s="9" t="n">
        <v>16</v>
      </c>
      <c r="F306" s="9" t="n">
        <v>1012</v>
      </c>
      <c r="G306" s="9" t="n">
        <v>900</v>
      </c>
      <c r="H306" s="9" t="n">
        <f aca="false">WEEKNUM(A306,21)</f>
        <v>21</v>
      </c>
      <c r="I306" s="8" t="n">
        <f aca="false">A306-WEEKDAY(A306,3)</f>
        <v>43969</v>
      </c>
      <c r="J306" s="10" t="n">
        <f aca="false">IFERROR(D306/E306,"")</f>
        <v>85302.9375</v>
      </c>
      <c r="K306" s="11" t="n">
        <f aca="false">IFERROR(D306/F306,"")</f>
        <v>1348.66304347826</v>
      </c>
    </row>
    <row r="307" customFormat="false" ht="15" hidden="false" customHeight="false" outlineLevel="0" collapsed="false">
      <c r="A307" s="8" t="n">
        <v>43970</v>
      </c>
      <c r="B307" s="9" t="s">
        <v>38</v>
      </c>
      <c r="C307" s="10" t="n">
        <v>16237.5</v>
      </c>
      <c r="D307" s="10" t="n">
        <v>1403047.5</v>
      </c>
      <c r="E307" s="9" t="n">
        <v>15</v>
      </c>
      <c r="F307" s="9" t="n">
        <v>930</v>
      </c>
      <c r="G307" s="9" t="n">
        <v>827</v>
      </c>
      <c r="H307" s="9" t="n">
        <f aca="false">WEEKNUM(A307,21)</f>
        <v>21</v>
      </c>
      <c r="I307" s="8" t="n">
        <f aca="false">A307-WEEKDAY(A307,3)</f>
        <v>43969</v>
      </c>
      <c r="J307" s="10" t="n">
        <f aca="false">IFERROR(D307/E307,"")</f>
        <v>93536.5</v>
      </c>
      <c r="K307" s="11" t="n">
        <f aca="false">IFERROR(D307/F307,"")</f>
        <v>1508.65322580645</v>
      </c>
    </row>
    <row r="308" customFormat="false" ht="15" hidden="false" customHeight="false" outlineLevel="0" collapsed="false">
      <c r="A308" s="8" t="n">
        <v>43970</v>
      </c>
      <c r="B308" s="9" t="s">
        <v>35</v>
      </c>
      <c r="C308" s="10" t="n">
        <v>362536.5</v>
      </c>
      <c r="D308" s="10" t="n">
        <v>37023243</v>
      </c>
      <c r="E308" s="9" t="n">
        <v>125</v>
      </c>
      <c r="F308" s="9" t="n">
        <v>20771</v>
      </c>
      <c r="G308" s="9" t="n">
        <v>19338</v>
      </c>
      <c r="H308" s="9" t="n">
        <f aca="false">WEEKNUM(A308,21)</f>
        <v>21</v>
      </c>
      <c r="I308" s="8" t="n">
        <f aca="false">A308-WEEKDAY(A308,3)</f>
        <v>43969</v>
      </c>
      <c r="J308" s="10" t="n">
        <f aca="false">IFERROR(D308/E308,"")</f>
        <v>296185.944</v>
      </c>
      <c r="K308" s="11" t="n">
        <f aca="false">IFERROR(D308/F308,"")</f>
        <v>1782.44875066198</v>
      </c>
    </row>
    <row r="309" customFormat="false" ht="15" hidden="false" customHeight="false" outlineLevel="0" collapsed="false">
      <c r="A309" s="8" t="n">
        <v>43970</v>
      </c>
      <c r="B309" s="9" t="s">
        <v>36</v>
      </c>
      <c r="C309" s="10" t="n">
        <v>276568.5</v>
      </c>
      <c r="D309" s="10" t="n">
        <v>27093624</v>
      </c>
      <c r="E309" s="9" t="n">
        <v>129</v>
      </c>
      <c r="F309" s="9" t="n">
        <v>16191</v>
      </c>
      <c r="G309" s="9" t="n">
        <v>15102</v>
      </c>
      <c r="H309" s="9" t="n">
        <f aca="false">WEEKNUM(A309,21)</f>
        <v>21</v>
      </c>
      <c r="I309" s="8" t="n">
        <f aca="false">A309-WEEKDAY(A309,3)</f>
        <v>43969</v>
      </c>
      <c r="J309" s="10" t="n">
        <f aca="false">IFERROR(D309/E309,"")</f>
        <v>210028.093023256</v>
      </c>
      <c r="K309" s="11" t="n">
        <f aca="false">IFERROR(D309/F309,"")</f>
        <v>1673.37557902538</v>
      </c>
    </row>
    <row r="310" customFormat="false" ht="15" hidden="false" customHeight="false" outlineLevel="0" collapsed="false">
      <c r="A310" s="8" t="n">
        <v>43970</v>
      </c>
      <c r="B310" s="9" t="s">
        <v>37</v>
      </c>
      <c r="C310" s="10" t="n">
        <v>11526</v>
      </c>
      <c r="D310" s="10" t="n">
        <v>938764.5</v>
      </c>
      <c r="E310" s="9" t="n">
        <v>10</v>
      </c>
      <c r="F310" s="9" t="n">
        <v>649</v>
      </c>
      <c r="G310" s="9" t="n">
        <v>568</v>
      </c>
      <c r="H310" s="9" t="n">
        <f aca="false">WEEKNUM(A310,21)</f>
        <v>21</v>
      </c>
      <c r="I310" s="8" t="n">
        <f aca="false">A310-WEEKDAY(A310,3)</f>
        <v>43969</v>
      </c>
      <c r="J310" s="10" t="n">
        <f aca="false">IFERROR(D310/E310,"")</f>
        <v>93876.45</v>
      </c>
      <c r="K310" s="11" t="n">
        <f aca="false">IFERROR(D310/F310,"")</f>
        <v>1446.47842835131</v>
      </c>
    </row>
    <row r="311" customFormat="false" ht="15" hidden="false" customHeight="false" outlineLevel="0" collapsed="false">
      <c r="A311" s="8" t="n">
        <v>43971</v>
      </c>
      <c r="B311" s="9" t="s">
        <v>25</v>
      </c>
      <c r="C311" s="10" t="n">
        <v>99631.5</v>
      </c>
      <c r="D311" s="10" t="n">
        <v>7121946</v>
      </c>
      <c r="E311" s="9" t="n">
        <v>36</v>
      </c>
      <c r="F311" s="9" t="n">
        <v>5914</v>
      </c>
      <c r="G311" s="9" t="n">
        <v>5384</v>
      </c>
      <c r="H311" s="9" t="n">
        <f aca="false">WEEKNUM(A311,21)</f>
        <v>21</v>
      </c>
      <c r="I311" s="8" t="n">
        <f aca="false">A311-WEEKDAY(A311,3)</f>
        <v>43969</v>
      </c>
      <c r="J311" s="10" t="n">
        <f aca="false">IFERROR(D311/E311,"")</f>
        <v>197831.833333333</v>
      </c>
      <c r="K311" s="11" t="n">
        <f aca="false">IFERROR(D311/F311,"")</f>
        <v>1204.25194453838</v>
      </c>
    </row>
    <row r="312" customFormat="false" ht="15" hidden="false" customHeight="false" outlineLevel="0" collapsed="false">
      <c r="A312" s="8" t="n">
        <v>43971</v>
      </c>
      <c r="B312" s="9" t="s">
        <v>26</v>
      </c>
      <c r="C312" s="10" t="n">
        <v>93313.5</v>
      </c>
      <c r="D312" s="10" t="n">
        <v>7247575.5</v>
      </c>
      <c r="E312" s="9" t="n">
        <v>31</v>
      </c>
      <c r="F312" s="9" t="n">
        <v>5698</v>
      </c>
      <c r="G312" s="9" t="n">
        <v>5258</v>
      </c>
      <c r="H312" s="9" t="n">
        <f aca="false">WEEKNUM(A312,21)</f>
        <v>21</v>
      </c>
      <c r="I312" s="8" t="n">
        <f aca="false">A312-WEEKDAY(A312,3)</f>
        <v>43969</v>
      </c>
      <c r="J312" s="10" t="n">
        <f aca="false">IFERROR(D312/E312,"")</f>
        <v>233792.758064516</v>
      </c>
      <c r="K312" s="11" t="n">
        <f aca="false">IFERROR(D312/F312,"")</f>
        <v>1271.95077220077</v>
      </c>
    </row>
    <row r="313" customFormat="false" ht="15" hidden="false" customHeight="false" outlineLevel="0" collapsed="false">
      <c r="A313" s="8" t="n">
        <v>43971</v>
      </c>
      <c r="B313" s="9" t="s">
        <v>27</v>
      </c>
      <c r="C313" s="10" t="n">
        <v>41391</v>
      </c>
      <c r="D313" s="10" t="n">
        <v>3918987</v>
      </c>
      <c r="E313" s="9" t="n">
        <v>21</v>
      </c>
      <c r="F313" s="9" t="n">
        <v>2410</v>
      </c>
      <c r="G313" s="9" t="n">
        <v>2202</v>
      </c>
      <c r="H313" s="9" t="n">
        <f aca="false">WEEKNUM(A313,21)</f>
        <v>21</v>
      </c>
      <c r="I313" s="8" t="n">
        <f aca="false">A313-WEEKDAY(A313,3)</f>
        <v>43969</v>
      </c>
      <c r="J313" s="10" t="n">
        <f aca="false">IFERROR(D313/E313,"")</f>
        <v>186618.428571429</v>
      </c>
      <c r="K313" s="11" t="n">
        <f aca="false">IFERROR(D313/F313,"")</f>
        <v>1626.1356846473</v>
      </c>
    </row>
    <row r="314" customFormat="false" ht="15" hidden="false" customHeight="false" outlineLevel="0" collapsed="false">
      <c r="A314" s="8" t="n">
        <v>43971</v>
      </c>
      <c r="B314" s="9" t="s">
        <v>28</v>
      </c>
      <c r="C314" s="10" t="n">
        <v>34077</v>
      </c>
      <c r="D314" s="10" t="n">
        <v>2929330.5</v>
      </c>
      <c r="E314" s="9" t="n">
        <v>21</v>
      </c>
      <c r="F314" s="9" t="n">
        <v>1921</v>
      </c>
      <c r="G314" s="9" t="n">
        <v>1767</v>
      </c>
      <c r="H314" s="9" t="n">
        <f aca="false">WEEKNUM(A314,21)</f>
        <v>21</v>
      </c>
      <c r="I314" s="8" t="n">
        <f aca="false">A314-WEEKDAY(A314,3)</f>
        <v>43969</v>
      </c>
      <c r="J314" s="10" t="n">
        <f aca="false">IFERROR(D314/E314,"")</f>
        <v>139491.928571429</v>
      </c>
      <c r="K314" s="11" t="n">
        <f aca="false">IFERROR(D314/F314,"")</f>
        <v>1524.8987506507</v>
      </c>
    </row>
    <row r="315" customFormat="false" ht="15" hidden="false" customHeight="false" outlineLevel="0" collapsed="false">
      <c r="A315" s="8" t="n">
        <v>43971</v>
      </c>
      <c r="B315" s="9" t="s">
        <v>29</v>
      </c>
      <c r="C315" s="10" t="n">
        <v>28849.5</v>
      </c>
      <c r="D315" s="10" t="n">
        <v>2520759</v>
      </c>
      <c r="E315" s="9" t="n">
        <v>19</v>
      </c>
      <c r="F315" s="9" t="n">
        <v>1823</v>
      </c>
      <c r="G315" s="9" t="n">
        <v>1678</v>
      </c>
      <c r="H315" s="9" t="n">
        <f aca="false">WEEKNUM(A315,21)</f>
        <v>21</v>
      </c>
      <c r="I315" s="8" t="n">
        <f aca="false">A315-WEEKDAY(A315,3)</f>
        <v>43969</v>
      </c>
      <c r="J315" s="10" t="n">
        <f aca="false">IFERROR(D315/E315,"")</f>
        <v>132671.526315789</v>
      </c>
      <c r="K315" s="11" t="n">
        <f aca="false">IFERROR(D315/F315,"")</f>
        <v>1382.75315414152</v>
      </c>
    </row>
    <row r="316" customFormat="false" ht="15" hidden="false" customHeight="false" outlineLevel="0" collapsed="false">
      <c r="A316" s="8" t="n">
        <v>43971</v>
      </c>
      <c r="B316" s="9" t="s">
        <v>30</v>
      </c>
      <c r="C316" s="10" t="n">
        <v>214885.5</v>
      </c>
      <c r="D316" s="10" t="n">
        <v>21411349.5</v>
      </c>
      <c r="E316" s="9" t="n">
        <v>54</v>
      </c>
      <c r="F316" s="9" t="n">
        <v>13298</v>
      </c>
      <c r="G316" s="9" t="n">
        <v>12428</v>
      </c>
      <c r="H316" s="9" t="n">
        <f aca="false">WEEKNUM(A316,21)</f>
        <v>21</v>
      </c>
      <c r="I316" s="8" t="n">
        <f aca="false">A316-WEEKDAY(A316,3)</f>
        <v>43969</v>
      </c>
      <c r="J316" s="10" t="n">
        <f aca="false">IFERROR(D316/E316,"")</f>
        <v>396506.472222222</v>
      </c>
      <c r="K316" s="11" t="n">
        <f aca="false">IFERROR(D316/F316,"")</f>
        <v>1610.11802526696</v>
      </c>
    </row>
    <row r="317" customFormat="false" ht="15" hidden="false" customHeight="false" outlineLevel="0" collapsed="false">
      <c r="A317" s="8" t="n">
        <v>43971</v>
      </c>
      <c r="B317" s="9" t="s">
        <v>31</v>
      </c>
      <c r="C317" s="10" t="n">
        <v>219622.5</v>
      </c>
      <c r="D317" s="10" t="n">
        <v>21959286</v>
      </c>
      <c r="E317" s="9" t="n">
        <v>60</v>
      </c>
      <c r="F317" s="9" t="n">
        <v>13792</v>
      </c>
      <c r="G317" s="9" t="n">
        <v>12834</v>
      </c>
      <c r="H317" s="9" t="n">
        <f aca="false">WEEKNUM(A317,21)</f>
        <v>21</v>
      </c>
      <c r="I317" s="8" t="n">
        <f aca="false">A317-WEEKDAY(A317,3)</f>
        <v>43969</v>
      </c>
      <c r="J317" s="10" t="n">
        <f aca="false">IFERROR(D317/E317,"")</f>
        <v>365988.1</v>
      </c>
      <c r="K317" s="11" t="n">
        <f aca="false">IFERROR(D317/F317,"")</f>
        <v>1592.17560904872</v>
      </c>
    </row>
    <row r="318" customFormat="false" ht="15" hidden="false" customHeight="false" outlineLevel="0" collapsed="false">
      <c r="A318" s="8" t="n">
        <v>43971</v>
      </c>
      <c r="B318" s="9" t="s">
        <v>32</v>
      </c>
      <c r="C318" s="10" t="n">
        <v>29955</v>
      </c>
      <c r="D318" s="10" t="n">
        <v>2692230</v>
      </c>
      <c r="E318" s="9" t="n">
        <v>19</v>
      </c>
      <c r="F318" s="9" t="n">
        <v>1889</v>
      </c>
      <c r="G318" s="9" t="n">
        <v>1690</v>
      </c>
      <c r="H318" s="9" t="n">
        <f aca="false">WEEKNUM(A318,21)</f>
        <v>21</v>
      </c>
      <c r="I318" s="8" t="n">
        <f aca="false">A318-WEEKDAY(A318,3)</f>
        <v>43969</v>
      </c>
      <c r="J318" s="10" t="n">
        <f aca="false">IFERROR(D318/E318,"")</f>
        <v>141696.315789474</v>
      </c>
      <c r="K318" s="11" t="n">
        <f aca="false">IFERROR(D318/F318,"")</f>
        <v>1425.21439915299</v>
      </c>
    </row>
    <row r="319" customFormat="false" ht="15" hidden="false" customHeight="false" outlineLevel="0" collapsed="false">
      <c r="A319" s="8" t="n">
        <v>43971</v>
      </c>
      <c r="B319" s="9" t="s">
        <v>33</v>
      </c>
      <c r="C319" s="10" t="n">
        <v>14928</v>
      </c>
      <c r="D319" s="10" t="n">
        <v>1217749.5</v>
      </c>
      <c r="E319" s="9" t="n">
        <v>17</v>
      </c>
      <c r="F319" s="9" t="n">
        <v>890</v>
      </c>
      <c r="G319" s="9" t="n">
        <v>794</v>
      </c>
      <c r="H319" s="9" t="n">
        <f aca="false">WEEKNUM(A319,21)</f>
        <v>21</v>
      </c>
      <c r="I319" s="8" t="n">
        <f aca="false">A319-WEEKDAY(A319,3)</f>
        <v>43969</v>
      </c>
      <c r="J319" s="10" t="n">
        <f aca="false">IFERROR(D319/E319,"")</f>
        <v>71632.3235294118</v>
      </c>
      <c r="K319" s="11" t="n">
        <f aca="false">IFERROR(D319/F319,"")</f>
        <v>1368.25786516854</v>
      </c>
    </row>
    <row r="320" customFormat="false" ht="15" hidden="false" customHeight="false" outlineLevel="0" collapsed="false">
      <c r="A320" s="8" t="n">
        <v>43971</v>
      </c>
      <c r="B320" s="9" t="s">
        <v>34</v>
      </c>
      <c r="C320" s="10" t="n">
        <v>17329.5</v>
      </c>
      <c r="D320" s="10" t="n">
        <v>1430254.5</v>
      </c>
      <c r="E320" s="9" t="n">
        <v>16</v>
      </c>
      <c r="F320" s="9" t="n">
        <v>1050</v>
      </c>
      <c r="G320" s="9" t="n">
        <v>938</v>
      </c>
      <c r="H320" s="9" t="n">
        <f aca="false">WEEKNUM(A320,21)</f>
        <v>21</v>
      </c>
      <c r="I320" s="8" t="n">
        <f aca="false">A320-WEEKDAY(A320,3)</f>
        <v>43969</v>
      </c>
      <c r="J320" s="10" t="n">
        <f aca="false">IFERROR(D320/E320,"")</f>
        <v>89390.90625</v>
      </c>
      <c r="K320" s="11" t="n">
        <f aca="false">IFERROR(D320/F320,"")</f>
        <v>1362.14714285714</v>
      </c>
    </row>
    <row r="321" customFormat="false" ht="15" hidden="false" customHeight="false" outlineLevel="0" collapsed="false">
      <c r="A321" s="8" t="n">
        <v>43971</v>
      </c>
      <c r="B321" s="9" t="s">
        <v>38</v>
      </c>
      <c r="C321" s="10" t="n">
        <v>12630</v>
      </c>
      <c r="D321" s="10" t="n">
        <v>1104858</v>
      </c>
      <c r="E321" s="9" t="n">
        <v>15</v>
      </c>
      <c r="F321" s="9" t="n">
        <v>760</v>
      </c>
      <c r="G321" s="9" t="n">
        <v>664</v>
      </c>
      <c r="H321" s="9" t="n">
        <f aca="false">WEEKNUM(A321,21)</f>
        <v>21</v>
      </c>
      <c r="I321" s="8" t="n">
        <f aca="false">A321-WEEKDAY(A321,3)</f>
        <v>43969</v>
      </c>
      <c r="J321" s="10" t="n">
        <f aca="false">IFERROR(D321/E321,"")</f>
        <v>73657.2</v>
      </c>
      <c r="K321" s="11" t="n">
        <f aca="false">IFERROR(D321/F321,"")</f>
        <v>1453.76052631579</v>
      </c>
    </row>
    <row r="322" customFormat="false" ht="15" hidden="false" customHeight="false" outlineLevel="0" collapsed="false">
      <c r="A322" s="8" t="n">
        <v>43971</v>
      </c>
      <c r="B322" s="9" t="s">
        <v>35</v>
      </c>
      <c r="C322" s="10" t="n">
        <v>388668</v>
      </c>
      <c r="D322" s="10" t="n">
        <v>39639309</v>
      </c>
      <c r="E322" s="9" t="n">
        <v>125</v>
      </c>
      <c r="F322" s="9" t="n">
        <v>21674</v>
      </c>
      <c r="G322" s="9" t="n">
        <v>20155</v>
      </c>
      <c r="H322" s="9" t="n">
        <f aca="false">WEEKNUM(A322,21)</f>
        <v>21</v>
      </c>
      <c r="I322" s="8" t="n">
        <f aca="false">A322-WEEKDAY(A322,3)</f>
        <v>43969</v>
      </c>
      <c r="J322" s="10" t="n">
        <f aca="false">IFERROR(D322/E322,"")</f>
        <v>317114.472</v>
      </c>
      <c r="K322" s="11" t="n">
        <f aca="false">IFERROR(D322/F322,"")</f>
        <v>1828.88756113316</v>
      </c>
    </row>
    <row r="323" customFormat="false" ht="15" hidden="false" customHeight="false" outlineLevel="0" collapsed="false">
      <c r="A323" s="8" t="n">
        <v>43971</v>
      </c>
      <c r="B323" s="9" t="s">
        <v>36</v>
      </c>
      <c r="C323" s="10" t="n">
        <v>300151.5</v>
      </c>
      <c r="D323" s="10" t="n">
        <v>29368771.61745</v>
      </c>
      <c r="E323" s="9" t="n">
        <v>129</v>
      </c>
      <c r="F323" s="9" t="n">
        <v>17095</v>
      </c>
      <c r="G323" s="9" t="n">
        <v>15919</v>
      </c>
      <c r="H323" s="9" t="n">
        <f aca="false">WEEKNUM(A323,21)</f>
        <v>21</v>
      </c>
      <c r="I323" s="8" t="n">
        <f aca="false">A323-WEEKDAY(A323,3)</f>
        <v>43969</v>
      </c>
      <c r="J323" s="10" t="n">
        <f aca="false">IFERROR(D323/E323,"")</f>
        <v>227664.896259302</v>
      </c>
      <c r="K323" s="11" t="n">
        <f aca="false">IFERROR(D323/F323,"")</f>
        <v>1717.97435609535</v>
      </c>
    </row>
    <row r="324" customFormat="false" ht="15" hidden="false" customHeight="false" outlineLevel="0" collapsed="false">
      <c r="A324" s="8" t="n">
        <v>43971</v>
      </c>
      <c r="B324" s="9" t="s">
        <v>37</v>
      </c>
      <c r="C324" s="10" t="n">
        <v>13063.5</v>
      </c>
      <c r="D324" s="10" t="n">
        <v>1037247</v>
      </c>
      <c r="E324" s="9" t="n">
        <v>10</v>
      </c>
      <c r="F324" s="9" t="n">
        <v>745</v>
      </c>
      <c r="G324" s="9" t="n">
        <v>654</v>
      </c>
      <c r="H324" s="9" t="n">
        <f aca="false">WEEKNUM(A324,21)</f>
        <v>21</v>
      </c>
      <c r="I324" s="8" t="n">
        <f aca="false">A324-WEEKDAY(A324,3)</f>
        <v>43969</v>
      </c>
      <c r="J324" s="10" t="n">
        <f aca="false">IFERROR(D324/E324,"")</f>
        <v>103724.7</v>
      </c>
      <c r="K324" s="11" t="n">
        <f aca="false">IFERROR(D324/F324,"")</f>
        <v>1392.27785234899</v>
      </c>
    </row>
    <row r="325" customFormat="false" ht="15" hidden="false" customHeight="false" outlineLevel="0" collapsed="false">
      <c r="A325" s="8" t="n">
        <v>43972</v>
      </c>
      <c r="B325" s="9" t="s">
        <v>25</v>
      </c>
      <c r="C325" s="10" t="n">
        <v>73126.5</v>
      </c>
      <c r="D325" s="10" t="n">
        <v>5864085</v>
      </c>
      <c r="E325" s="9" t="n">
        <v>36</v>
      </c>
      <c r="F325" s="9" t="n">
        <v>4816</v>
      </c>
      <c r="G325" s="9" t="n">
        <v>4452</v>
      </c>
      <c r="H325" s="9" t="n">
        <f aca="false">WEEKNUM(A325,21)</f>
        <v>21</v>
      </c>
      <c r="I325" s="8" t="n">
        <f aca="false">A325-WEEKDAY(A325,3)</f>
        <v>43969</v>
      </c>
      <c r="J325" s="10" t="n">
        <f aca="false">IFERROR(D325/E325,"")</f>
        <v>162891.25</v>
      </c>
      <c r="K325" s="11" t="n">
        <f aca="false">IFERROR(D325/F325,"")</f>
        <v>1217.62562292359</v>
      </c>
    </row>
    <row r="326" customFormat="false" ht="15" hidden="false" customHeight="false" outlineLevel="0" collapsed="false">
      <c r="A326" s="8" t="n">
        <v>43972</v>
      </c>
      <c r="B326" s="9" t="s">
        <v>26</v>
      </c>
      <c r="C326" s="10" t="n">
        <v>79485</v>
      </c>
      <c r="D326" s="10" t="n">
        <v>6633847.5</v>
      </c>
      <c r="E326" s="9" t="n">
        <v>31</v>
      </c>
      <c r="F326" s="9" t="n">
        <v>5207</v>
      </c>
      <c r="G326" s="9" t="n">
        <v>4868</v>
      </c>
      <c r="H326" s="9" t="n">
        <f aca="false">WEEKNUM(A326,21)</f>
        <v>21</v>
      </c>
      <c r="I326" s="8" t="n">
        <f aca="false">A326-WEEKDAY(A326,3)</f>
        <v>43969</v>
      </c>
      <c r="J326" s="10" t="n">
        <f aca="false">IFERROR(D326/E326,"")</f>
        <v>213995.080645161</v>
      </c>
      <c r="K326" s="11" t="n">
        <f aca="false">IFERROR(D326/F326,"")</f>
        <v>1274.02487036681</v>
      </c>
    </row>
    <row r="327" customFormat="false" ht="15" hidden="false" customHeight="false" outlineLevel="0" collapsed="false">
      <c r="A327" s="8" t="n">
        <v>43972</v>
      </c>
      <c r="B327" s="9" t="s">
        <v>27</v>
      </c>
      <c r="C327" s="10" t="n">
        <v>40819.5</v>
      </c>
      <c r="D327" s="10" t="n">
        <v>3810394.5</v>
      </c>
      <c r="E327" s="9" t="n">
        <v>21</v>
      </c>
      <c r="F327" s="9" t="n">
        <v>2335</v>
      </c>
      <c r="G327" s="9" t="n">
        <v>2126</v>
      </c>
      <c r="H327" s="9" t="n">
        <f aca="false">WEEKNUM(A327,21)</f>
        <v>21</v>
      </c>
      <c r="I327" s="8" t="n">
        <f aca="false">A327-WEEKDAY(A327,3)</f>
        <v>43969</v>
      </c>
      <c r="J327" s="10" t="n">
        <f aca="false">IFERROR(D327/E327,"")</f>
        <v>181447.357142857</v>
      </c>
      <c r="K327" s="11" t="n">
        <f aca="false">IFERROR(D327/F327,"")</f>
        <v>1631.86059957173</v>
      </c>
    </row>
    <row r="328" customFormat="false" ht="15" hidden="false" customHeight="false" outlineLevel="0" collapsed="false">
      <c r="A328" s="8" t="n">
        <v>43972</v>
      </c>
      <c r="B328" s="9" t="s">
        <v>28</v>
      </c>
      <c r="C328" s="10" t="n">
        <v>31272</v>
      </c>
      <c r="D328" s="10" t="n">
        <v>2744382</v>
      </c>
      <c r="E328" s="9" t="n">
        <v>21</v>
      </c>
      <c r="F328" s="9" t="n">
        <v>1787</v>
      </c>
      <c r="G328" s="9" t="n">
        <v>1626</v>
      </c>
      <c r="H328" s="9" t="n">
        <f aca="false">WEEKNUM(A328,21)</f>
        <v>21</v>
      </c>
      <c r="I328" s="8" t="n">
        <f aca="false">A328-WEEKDAY(A328,3)</f>
        <v>43969</v>
      </c>
      <c r="J328" s="10" t="n">
        <f aca="false">IFERROR(D328/E328,"")</f>
        <v>130684.857142857</v>
      </c>
      <c r="K328" s="11" t="n">
        <f aca="false">IFERROR(D328/F328,"")</f>
        <v>1535.74818130946</v>
      </c>
    </row>
    <row r="329" customFormat="false" ht="15" hidden="false" customHeight="false" outlineLevel="0" collapsed="false">
      <c r="A329" s="8" t="n">
        <v>43972</v>
      </c>
      <c r="B329" s="9" t="s">
        <v>29</v>
      </c>
      <c r="C329" s="10" t="n">
        <v>25362</v>
      </c>
      <c r="D329" s="10" t="n">
        <v>2198935.5</v>
      </c>
      <c r="E329" s="9" t="n">
        <v>19</v>
      </c>
      <c r="F329" s="9" t="n">
        <v>1650</v>
      </c>
      <c r="G329" s="9" t="n">
        <v>1505</v>
      </c>
      <c r="H329" s="9" t="n">
        <f aca="false">WEEKNUM(A329,21)</f>
        <v>21</v>
      </c>
      <c r="I329" s="8" t="n">
        <f aca="false">A329-WEEKDAY(A329,3)</f>
        <v>43969</v>
      </c>
      <c r="J329" s="10" t="n">
        <f aca="false">IFERROR(D329/E329,"")</f>
        <v>115733.447368421</v>
      </c>
      <c r="K329" s="11" t="n">
        <f aca="false">IFERROR(D329/F329,"")</f>
        <v>1332.68818181818</v>
      </c>
    </row>
    <row r="330" customFormat="false" ht="15" hidden="false" customHeight="false" outlineLevel="0" collapsed="false">
      <c r="A330" s="8" t="n">
        <v>43972</v>
      </c>
      <c r="B330" s="9" t="s">
        <v>30</v>
      </c>
      <c r="C330" s="10" t="n">
        <v>213640.5</v>
      </c>
      <c r="D330" s="10" t="n">
        <v>21042673.5</v>
      </c>
      <c r="E330" s="9" t="n">
        <v>54</v>
      </c>
      <c r="F330" s="9" t="n">
        <v>13240</v>
      </c>
      <c r="G330" s="9" t="n">
        <v>12360</v>
      </c>
      <c r="H330" s="9" t="n">
        <f aca="false">WEEKNUM(A330,21)</f>
        <v>21</v>
      </c>
      <c r="I330" s="8" t="n">
        <f aca="false">A330-WEEKDAY(A330,3)</f>
        <v>43969</v>
      </c>
      <c r="J330" s="10" t="n">
        <f aca="false">IFERROR(D330/E330,"")</f>
        <v>389679.138888889</v>
      </c>
      <c r="K330" s="11" t="n">
        <f aca="false">IFERROR(D330/F330,"")</f>
        <v>1589.32579305136</v>
      </c>
    </row>
    <row r="331" customFormat="false" ht="15" hidden="false" customHeight="false" outlineLevel="0" collapsed="false">
      <c r="A331" s="8" t="n">
        <v>43972</v>
      </c>
      <c r="B331" s="9" t="s">
        <v>31</v>
      </c>
      <c r="C331" s="10" t="n">
        <v>224233.5</v>
      </c>
      <c r="D331" s="10" t="n">
        <v>22253295</v>
      </c>
      <c r="E331" s="9" t="n">
        <v>60</v>
      </c>
      <c r="F331" s="9" t="n">
        <v>14005</v>
      </c>
      <c r="G331" s="9" t="n">
        <v>13002</v>
      </c>
      <c r="H331" s="9" t="n">
        <f aca="false">WEEKNUM(A331,21)</f>
        <v>21</v>
      </c>
      <c r="I331" s="8" t="n">
        <f aca="false">A331-WEEKDAY(A331,3)</f>
        <v>43969</v>
      </c>
      <c r="J331" s="10" t="n">
        <f aca="false">IFERROR(D331/E331,"")</f>
        <v>370888.25</v>
      </c>
      <c r="K331" s="11" t="n">
        <f aca="false">IFERROR(D331/F331,"")</f>
        <v>1588.95358800428</v>
      </c>
    </row>
    <row r="332" customFormat="false" ht="15" hidden="false" customHeight="false" outlineLevel="0" collapsed="false">
      <c r="A332" s="8" t="n">
        <v>43972</v>
      </c>
      <c r="B332" s="9" t="s">
        <v>32</v>
      </c>
      <c r="C332" s="10" t="n">
        <v>31707</v>
      </c>
      <c r="D332" s="10" t="n">
        <v>2853181.5</v>
      </c>
      <c r="E332" s="9" t="n">
        <v>19</v>
      </c>
      <c r="F332" s="9" t="n">
        <v>1949</v>
      </c>
      <c r="G332" s="9" t="n">
        <v>1724</v>
      </c>
      <c r="H332" s="9" t="n">
        <f aca="false">WEEKNUM(A332,21)</f>
        <v>21</v>
      </c>
      <c r="I332" s="8" t="n">
        <f aca="false">A332-WEEKDAY(A332,3)</f>
        <v>43969</v>
      </c>
      <c r="J332" s="10" t="n">
        <f aca="false">IFERROR(D332/E332,"")</f>
        <v>150167.447368421</v>
      </c>
      <c r="K332" s="11" t="n">
        <f aca="false">IFERROR(D332/F332,"")</f>
        <v>1463.92072857876</v>
      </c>
    </row>
    <row r="333" customFormat="false" ht="15" hidden="false" customHeight="false" outlineLevel="0" collapsed="false">
      <c r="A333" s="8" t="n">
        <v>43972</v>
      </c>
      <c r="B333" s="9" t="s">
        <v>33</v>
      </c>
      <c r="C333" s="10" t="n">
        <v>14182.5</v>
      </c>
      <c r="D333" s="10" t="n">
        <v>1172574</v>
      </c>
      <c r="E333" s="9" t="n">
        <v>18</v>
      </c>
      <c r="F333" s="9" t="n">
        <v>888</v>
      </c>
      <c r="G333" s="9" t="n">
        <v>786</v>
      </c>
      <c r="H333" s="9" t="n">
        <f aca="false">WEEKNUM(A333,21)</f>
        <v>21</v>
      </c>
      <c r="I333" s="8" t="n">
        <f aca="false">A333-WEEKDAY(A333,3)</f>
        <v>43969</v>
      </c>
      <c r="J333" s="10" t="n">
        <f aca="false">IFERROR(D333/E333,"")</f>
        <v>65143</v>
      </c>
      <c r="K333" s="11" t="n">
        <f aca="false">IFERROR(D333/F333,"")</f>
        <v>1320.46621621622</v>
      </c>
    </row>
    <row r="334" customFormat="false" ht="15" hidden="false" customHeight="false" outlineLevel="0" collapsed="false">
      <c r="A334" s="8" t="n">
        <v>43972</v>
      </c>
      <c r="B334" s="9" t="s">
        <v>34</v>
      </c>
      <c r="C334" s="10" t="n">
        <v>16554</v>
      </c>
      <c r="D334" s="10" t="n">
        <v>1380751.5</v>
      </c>
      <c r="E334" s="9" t="n">
        <v>17</v>
      </c>
      <c r="F334" s="9" t="n">
        <v>1045</v>
      </c>
      <c r="G334" s="9" t="n">
        <v>930</v>
      </c>
      <c r="H334" s="9" t="n">
        <f aca="false">WEEKNUM(A334,21)</f>
        <v>21</v>
      </c>
      <c r="I334" s="8" t="n">
        <f aca="false">A334-WEEKDAY(A334,3)</f>
        <v>43969</v>
      </c>
      <c r="J334" s="10" t="n">
        <f aca="false">IFERROR(D334/E334,"")</f>
        <v>81220.6764705882</v>
      </c>
      <c r="K334" s="11" t="n">
        <f aca="false">IFERROR(D334/F334,"")</f>
        <v>1321.29330143541</v>
      </c>
    </row>
    <row r="335" customFormat="false" ht="15" hidden="false" customHeight="false" outlineLevel="0" collapsed="false">
      <c r="A335" s="8" t="n">
        <v>43972</v>
      </c>
      <c r="B335" s="9" t="s">
        <v>38</v>
      </c>
      <c r="C335" s="10" t="n">
        <v>12135</v>
      </c>
      <c r="D335" s="10" t="n">
        <v>1103623.5</v>
      </c>
      <c r="E335" s="9" t="n">
        <v>15</v>
      </c>
      <c r="F335" s="9" t="n">
        <v>749</v>
      </c>
      <c r="G335" s="9" t="n">
        <v>652</v>
      </c>
      <c r="H335" s="9" t="n">
        <f aca="false">WEEKNUM(A335,21)</f>
        <v>21</v>
      </c>
      <c r="I335" s="8" t="n">
        <f aca="false">A335-WEEKDAY(A335,3)</f>
        <v>43969</v>
      </c>
      <c r="J335" s="10" t="n">
        <f aca="false">IFERROR(D335/E335,"")</f>
        <v>73574.9</v>
      </c>
      <c r="K335" s="11" t="n">
        <f aca="false">IFERROR(D335/F335,"")</f>
        <v>1473.46261682243</v>
      </c>
    </row>
    <row r="336" customFormat="false" ht="15" hidden="false" customHeight="false" outlineLevel="0" collapsed="false">
      <c r="A336" s="8" t="n">
        <v>43972</v>
      </c>
      <c r="B336" s="9" t="s">
        <v>35</v>
      </c>
      <c r="C336" s="10" t="n">
        <v>378043.5</v>
      </c>
      <c r="D336" s="10" t="n">
        <v>37902156.57</v>
      </c>
      <c r="E336" s="9" t="n">
        <v>125</v>
      </c>
      <c r="F336" s="9" t="n">
        <v>20911</v>
      </c>
      <c r="G336" s="9" t="n">
        <v>19358</v>
      </c>
      <c r="H336" s="9" t="n">
        <f aca="false">WEEKNUM(A336,21)</f>
        <v>21</v>
      </c>
      <c r="I336" s="8" t="n">
        <f aca="false">A336-WEEKDAY(A336,3)</f>
        <v>43969</v>
      </c>
      <c r="J336" s="10" t="n">
        <f aca="false">IFERROR(D336/E336,"")</f>
        <v>303217.25256</v>
      </c>
      <c r="K336" s="11" t="n">
        <f aca="false">IFERROR(D336/F336,"")</f>
        <v>1812.54634259481</v>
      </c>
    </row>
    <row r="337" customFormat="false" ht="15" hidden="false" customHeight="false" outlineLevel="0" collapsed="false">
      <c r="A337" s="8" t="n">
        <v>43972</v>
      </c>
      <c r="B337" s="9" t="s">
        <v>36</v>
      </c>
      <c r="C337" s="10" t="n">
        <v>288936</v>
      </c>
      <c r="D337" s="10" t="n">
        <v>27852900</v>
      </c>
      <c r="E337" s="9" t="n">
        <v>129</v>
      </c>
      <c r="F337" s="9" t="n">
        <v>16373</v>
      </c>
      <c r="G337" s="9" t="n">
        <v>15223</v>
      </c>
      <c r="H337" s="9" t="n">
        <f aca="false">WEEKNUM(A337,21)</f>
        <v>21</v>
      </c>
      <c r="I337" s="8" t="n">
        <f aca="false">A337-WEEKDAY(A337,3)</f>
        <v>43969</v>
      </c>
      <c r="J337" s="10" t="n">
        <f aca="false">IFERROR(D337/E337,"")</f>
        <v>215913.953488372</v>
      </c>
      <c r="K337" s="11" t="n">
        <f aca="false">IFERROR(D337/F337,"")</f>
        <v>1701.14823184511</v>
      </c>
    </row>
    <row r="338" customFormat="false" ht="15" hidden="false" customHeight="false" outlineLevel="0" collapsed="false">
      <c r="A338" s="8" t="n">
        <v>43972</v>
      </c>
      <c r="B338" s="9" t="s">
        <v>37</v>
      </c>
      <c r="C338" s="10" t="n">
        <v>11250</v>
      </c>
      <c r="D338" s="10" t="n">
        <v>935523</v>
      </c>
      <c r="E338" s="9" t="n">
        <v>10</v>
      </c>
      <c r="F338" s="9" t="n">
        <v>677</v>
      </c>
      <c r="G338" s="9" t="n">
        <v>591</v>
      </c>
      <c r="H338" s="9" t="n">
        <f aca="false">WEEKNUM(A338,21)</f>
        <v>21</v>
      </c>
      <c r="I338" s="8" t="n">
        <f aca="false">A338-WEEKDAY(A338,3)</f>
        <v>43969</v>
      </c>
      <c r="J338" s="10" t="n">
        <f aca="false">IFERROR(D338/E338,"")</f>
        <v>93552.3</v>
      </c>
      <c r="K338" s="11" t="n">
        <f aca="false">IFERROR(D338/F338,"")</f>
        <v>1381.86558345643</v>
      </c>
    </row>
    <row r="339" customFormat="false" ht="15" hidden="false" customHeight="false" outlineLevel="0" collapsed="false">
      <c r="A339" s="8" t="n">
        <v>43973</v>
      </c>
      <c r="B339" s="9" t="s">
        <v>25</v>
      </c>
      <c r="C339" s="10" t="n">
        <v>75820.5</v>
      </c>
      <c r="D339" s="10" t="n">
        <v>5943489</v>
      </c>
      <c r="E339" s="9" t="n">
        <v>36</v>
      </c>
      <c r="F339" s="9" t="n">
        <v>4857</v>
      </c>
      <c r="G339" s="9" t="n">
        <v>4456</v>
      </c>
      <c r="H339" s="9" t="n">
        <f aca="false">WEEKNUM(A339,21)</f>
        <v>21</v>
      </c>
      <c r="I339" s="8" t="n">
        <f aca="false">A339-WEEKDAY(A339,3)</f>
        <v>43969</v>
      </c>
      <c r="J339" s="10" t="n">
        <f aca="false">IFERROR(D339/E339,"")</f>
        <v>165096.916666667</v>
      </c>
      <c r="K339" s="11" t="n">
        <f aca="false">IFERROR(D339/F339,"")</f>
        <v>1223.69549104385</v>
      </c>
    </row>
    <row r="340" customFormat="false" ht="15" hidden="false" customHeight="false" outlineLevel="0" collapsed="false">
      <c r="A340" s="8" t="n">
        <v>43973</v>
      </c>
      <c r="B340" s="9" t="s">
        <v>26</v>
      </c>
      <c r="C340" s="10" t="n">
        <v>97963.5</v>
      </c>
      <c r="D340" s="10" t="n">
        <v>7728465</v>
      </c>
      <c r="E340" s="9" t="n">
        <v>31</v>
      </c>
      <c r="F340" s="9" t="n">
        <v>5965</v>
      </c>
      <c r="G340" s="9" t="n">
        <v>5533</v>
      </c>
      <c r="H340" s="9" t="n">
        <f aca="false">WEEKNUM(A340,21)</f>
        <v>21</v>
      </c>
      <c r="I340" s="8" t="n">
        <f aca="false">A340-WEEKDAY(A340,3)</f>
        <v>43969</v>
      </c>
      <c r="J340" s="10" t="n">
        <f aca="false">IFERROR(D340/E340,"")</f>
        <v>249305.322580645</v>
      </c>
      <c r="K340" s="11" t="n">
        <f aca="false">IFERROR(D340/F340,"")</f>
        <v>1295.63537300922</v>
      </c>
    </row>
    <row r="341" customFormat="false" ht="15" hidden="false" customHeight="false" outlineLevel="0" collapsed="false">
      <c r="A341" s="8" t="n">
        <v>43973</v>
      </c>
      <c r="B341" s="9" t="s">
        <v>27</v>
      </c>
      <c r="C341" s="10" t="n">
        <v>53838</v>
      </c>
      <c r="D341" s="10" t="n">
        <v>4840833</v>
      </c>
      <c r="E341" s="9" t="n">
        <v>21</v>
      </c>
      <c r="F341" s="9" t="n">
        <v>2861</v>
      </c>
      <c r="G341" s="9" t="n">
        <v>2612</v>
      </c>
      <c r="H341" s="9" t="n">
        <f aca="false">WEEKNUM(A341,21)</f>
        <v>21</v>
      </c>
      <c r="I341" s="8" t="n">
        <f aca="false">A341-WEEKDAY(A341,3)</f>
        <v>43969</v>
      </c>
      <c r="J341" s="10" t="n">
        <f aca="false">IFERROR(D341/E341,"")</f>
        <v>230515.857142857</v>
      </c>
      <c r="K341" s="11" t="n">
        <f aca="false">IFERROR(D341/F341,"")</f>
        <v>1692.00734009088</v>
      </c>
    </row>
    <row r="342" customFormat="false" ht="15" hidden="false" customHeight="false" outlineLevel="0" collapsed="false">
      <c r="A342" s="8" t="n">
        <v>43973</v>
      </c>
      <c r="B342" s="9" t="s">
        <v>28</v>
      </c>
      <c r="C342" s="10" t="n">
        <v>36031.5</v>
      </c>
      <c r="D342" s="10" t="n">
        <v>3091069.5</v>
      </c>
      <c r="E342" s="9" t="n">
        <v>21</v>
      </c>
      <c r="F342" s="9" t="n">
        <v>2046</v>
      </c>
      <c r="G342" s="9" t="n">
        <v>1853</v>
      </c>
      <c r="H342" s="9" t="n">
        <f aca="false">WEEKNUM(A342,21)</f>
        <v>21</v>
      </c>
      <c r="I342" s="8" t="n">
        <f aca="false">A342-WEEKDAY(A342,3)</f>
        <v>43969</v>
      </c>
      <c r="J342" s="10" t="n">
        <f aca="false">IFERROR(D342/E342,"")</f>
        <v>147193.785714286</v>
      </c>
      <c r="K342" s="11" t="n">
        <f aca="false">IFERROR(D342/F342,"")</f>
        <v>1510.7866568915</v>
      </c>
    </row>
    <row r="343" customFormat="false" ht="15" hidden="false" customHeight="false" outlineLevel="0" collapsed="false">
      <c r="A343" s="8" t="n">
        <v>43973</v>
      </c>
      <c r="B343" s="9" t="s">
        <v>29</v>
      </c>
      <c r="C343" s="10" t="n">
        <v>30781.5</v>
      </c>
      <c r="D343" s="10" t="n">
        <v>2540715</v>
      </c>
      <c r="E343" s="9" t="n">
        <v>19</v>
      </c>
      <c r="F343" s="9" t="n">
        <v>1859</v>
      </c>
      <c r="G343" s="9" t="n">
        <v>1697</v>
      </c>
      <c r="H343" s="9" t="n">
        <f aca="false">WEEKNUM(A343,21)</f>
        <v>21</v>
      </c>
      <c r="I343" s="8" t="n">
        <f aca="false">A343-WEEKDAY(A343,3)</f>
        <v>43969</v>
      </c>
      <c r="J343" s="10" t="n">
        <f aca="false">IFERROR(D343/E343,"")</f>
        <v>133721.842105263</v>
      </c>
      <c r="K343" s="11" t="n">
        <f aca="false">IFERROR(D343/F343,"")</f>
        <v>1366.71059709521</v>
      </c>
    </row>
    <row r="344" customFormat="false" ht="15" hidden="false" customHeight="false" outlineLevel="0" collapsed="false">
      <c r="A344" s="8" t="n">
        <v>43973</v>
      </c>
      <c r="B344" s="9" t="s">
        <v>30</v>
      </c>
      <c r="C344" s="10" t="n">
        <v>214428</v>
      </c>
      <c r="D344" s="10" t="n">
        <v>20812585.5</v>
      </c>
      <c r="E344" s="9" t="n">
        <v>54</v>
      </c>
      <c r="F344" s="9" t="n">
        <v>13014</v>
      </c>
      <c r="G344" s="9" t="n">
        <v>12095</v>
      </c>
      <c r="H344" s="9" t="n">
        <f aca="false">WEEKNUM(A344,21)</f>
        <v>21</v>
      </c>
      <c r="I344" s="8" t="n">
        <f aca="false">A344-WEEKDAY(A344,3)</f>
        <v>43969</v>
      </c>
      <c r="J344" s="10" t="n">
        <f aca="false">IFERROR(D344/E344,"")</f>
        <v>385418.25</v>
      </c>
      <c r="K344" s="11" t="n">
        <f aca="false">IFERROR(D344/F344,"")</f>
        <v>1599.24585062241</v>
      </c>
    </row>
    <row r="345" customFormat="false" ht="15" hidden="false" customHeight="false" outlineLevel="0" collapsed="false">
      <c r="A345" s="8" t="n">
        <v>43973</v>
      </c>
      <c r="B345" s="9" t="s">
        <v>31</v>
      </c>
      <c r="C345" s="10" t="n">
        <v>228334.5</v>
      </c>
      <c r="D345" s="10" t="n">
        <v>22380772.5</v>
      </c>
      <c r="E345" s="9" t="n">
        <v>60</v>
      </c>
      <c r="F345" s="9" t="n">
        <v>14050</v>
      </c>
      <c r="G345" s="9" t="n">
        <v>13027</v>
      </c>
      <c r="H345" s="9" t="n">
        <f aca="false">WEEKNUM(A345,21)</f>
        <v>21</v>
      </c>
      <c r="I345" s="8" t="n">
        <f aca="false">A345-WEEKDAY(A345,3)</f>
        <v>43969</v>
      </c>
      <c r="J345" s="10" t="n">
        <f aca="false">IFERROR(D345/E345,"")</f>
        <v>373012.875</v>
      </c>
      <c r="K345" s="11" t="n">
        <f aca="false">IFERROR(D345/F345,"")</f>
        <v>1592.93754448399</v>
      </c>
    </row>
    <row r="346" customFormat="false" ht="15" hidden="false" customHeight="false" outlineLevel="0" collapsed="false">
      <c r="A346" s="8" t="n">
        <v>43973</v>
      </c>
      <c r="B346" s="9" t="s">
        <v>32</v>
      </c>
      <c r="C346" s="10" t="n">
        <v>38074.5</v>
      </c>
      <c r="D346" s="10" t="n">
        <v>3414180</v>
      </c>
      <c r="E346" s="9" t="n">
        <v>20</v>
      </c>
      <c r="F346" s="9" t="n">
        <v>2306</v>
      </c>
      <c r="G346" s="9" t="n">
        <v>2054</v>
      </c>
      <c r="H346" s="9" t="n">
        <f aca="false">WEEKNUM(A346,21)</f>
        <v>21</v>
      </c>
      <c r="I346" s="8" t="n">
        <f aca="false">A346-WEEKDAY(A346,3)</f>
        <v>43969</v>
      </c>
      <c r="J346" s="10" t="n">
        <f aca="false">IFERROR(D346/E346,"")</f>
        <v>170709</v>
      </c>
      <c r="K346" s="11" t="n">
        <f aca="false">IFERROR(D346/F346,"")</f>
        <v>1480.56374674762</v>
      </c>
    </row>
    <row r="347" customFormat="false" ht="15" hidden="false" customHeight="false" outlineLevel="0" collapsed="false">
      <c r="A347" s="8" t="n">
        <v>43973</v>
      </c>
      <c r="B347" s="9" t="s">
        <v>33</v>
      </c>
      <c r="C347" s="10" t="n">
        <v>17008.5</v>
      </c>
      <c r="D347" s="10" t="n">
        <v>1398771</v>
      </c>
      <c r="E347" s="9" t="n">
        <v>18</v>
      </c>
      <c r="F347" s="9" t="n">
        <v>985</v>
      </c>
      <c r="G347" s="9" t="n">
        <v>861</v>
      </c>
      <c r="H347" s="9" t="n">
        <f aca="false">WEEKNUM(A347,21)</f>
        <v>21</v>
      </c>
      <c r="I347" s="8" t="n">
        <f aca="false">A347-WEEKDAY(A347,3)</f>
        <v>43969</v>
      </c>
      <c r="J347" s="10" t="n">
        <f aca="false">IFERROR(D347/E347,"")</f>
        <v>77709.5</v>
      </c>
      <c r="K347" s="11" t="n">
        <f aca="false">IFERROR(D347/F347,"")</f>
        <v>1420.07208121827</v>
      </c>
    </row>
    <row r="348" customFormat="false" ht="15" hidden="false" customHeight="false" outlineLevel="0" collapsed="false">
      <c r="A348" s="8" t="n">
        <v>43973</v>
      </c>
      <c r="B348" s="9" t="s">
        <v>34</v>
      </c>
      <c r="C348" s="10" t="n">
        <v>21483</v>
      </c>
      <c r="D348" s="10" t="n">
        <v>1774329</v>
      </c>
      <c r="E348" s="9" t="n">
        <v>17</v>
      </c>
      <c r="F348" s="9" t="n">
        <v>1268</v>
      </c>
      <c r="G348" s="9" t="n">
        <v>1129</v>
      </c>
      <c r="H348" s="9" t="n">
        <f aca="false">WEEKNUM(A348,21)</f>
        <v>21</v>
      </c>
      <c r="I348" s="8" t="n">
        <f aca="false">A348-WEEKDAY(A348,3)</f>
        <v>43969</v>
      </c>
      <c r="J348" s="10" t="n">
        <f aca="false">IFERROR(D348/E348,"")</f>
        <v>104372.294117647</v>
      </c>
      <c r="K348" s="11" t="n">
        <f aca="false">IFERROR(D348/F348,"")</f>
        <v>1399.31309148265</v>
      </c>
    </row>
    <row r="349" customFormat="false" ht="15" hidden="false" customHeight="false" outlineLevel="0" collapsed="false">
      <c r="A349" s="8" t="n">
        <v>43973</v>
      </c>
      <c r="B349" s="9" t="s">
        <v>38</v>
      </c>
      <c r="C349" s="10" t="n">
        <v>15802.5</v>
      </c>
      <c r="D349" s="10" t="n">
        <v>1411909.5</v>
      </c>
      <c r="E349" s="9" t="n">
        <v>15</v>
      </c>
      <c r="F349" s="9" t="n">
        <v>903</v>
      </c>
      <c r="G349" s="9" t="n">
        <v>792</v>
      </c>
      <c r="H349" s="9" t="n">
        <f aca="false">WEEKNUM(A349,21)</f>
        <v>21</v>
      </c>
      <c r="I349" s="8" t="n">
        <f aca="false">A349-WEEKDAY(A349,3)</f>
        <v>43969</v>
      </c>
      <c r="J349" s="10" t="n">
        <f aca="false">IFERROR(D349/E349,"")</f>
        <v>94127.3</v>
      </c>
      <c r="K349" s="11" t="n">
        <f aca="false">IFERROR(D349/F349,"")</f>
        <v>1563.57641196013</v>
      </c>
    </row>
    <row r="350" customFormat="false" ht="15" hidden="false" customHeight="false" outlineLevel="0" collapsed="false">
      <c r="A350" s="8" t="n">
        <v>43973</v>
      </c>
      <c r="B350" s="9" t="s">
        <v>35</v>
      </c>
      <c r="C350" s="10" t="n">
        <v>393018</v>
      </c>
      <c r="D350" s="10" t="n">
        <v>39498373.5</v>
      </c>
      <c r="E350" s="9" t="n">
        <v>125</v>
      </c>
      <c r="F350" s="9" t="n">
        <v>21427</v>
      </c>
      <c r="G350" s="9" t="n">
        <v>19799</v>
      </c>
      <c r="H350" s="9" t="n">
        <f aca="false">WEEKNUM(A350,21)</f>
        <v>21</v>
      </c>
      <c r="I350" s="8" t="n">
        <f aca="false">A350-WEEKDAY(A350,3)</f>
        <v>43969</v>
      </c>
      <c r="J350" s="10" t="n">
        <f aca="false">IFERROR(D350/E350,"")</f>
        <v>315986.988</v>
      </c>
      <c r="K350" s="11" t="n">
        <f aca="false">IFERROR(D350/F350,"")</f>
        <v>1843.39261212489</v>
      </c>
    </row>
    <row r="351" customFormat="false" ht="15" hidden="false" customHeight="false" outlineLevel="0" collapsed="false">
      <c r="A351" s="8" t="n">
        <v>43973</v>
      </c>
      <c r="B351" s="9" t="s">
        <v>36</v>
      </c>
      <c r="C351" s="10" t="n">
        <v>304092</v>
      </c>
      <c r="D351" s="10" t="n">
        <v>29465769</v>
      </c>
      <c r="E351" s="9" t="n">
        <v>129</v>
      </c>
      <c r="F351" s="9" t="n">
        <v>17088</v>
      </c>
      <c r="G351" s="9" t="n">
        <v>15804</v>
      </c>
      <c r="H351" s="9" t="n">
        <f aca="false">WEEKNUM(A351,21)</f>
        <v>21</v>
      </c>
      <c r="I351" s="8" t="n">
        <f aca="false">A351-WEEKDAY(A351,3)</f>
        <v>43969</v>
      </c>
      <c r="J351" s="10" t="n">
        <f aca="false">IFERROR(D351/E351,"")</f>
        <v>228416.813953488</v>
      </c>
      <c r="K351" s="11" t="n">
        <f aca="false">IFERROR(D351/F351,"")</f>
        <v>1724.35445926966</v>
      </c>
    </row>
    <row r="352" customFormat="false" ht="15" hidden="false" customHeight="false" outlineLevel="0" collapsed="false">
      <c r="A352" s="8" t="n">
        <v>43973</v>
      </c>
      <c r="B352" s="9" t="s">
        <v>37</v>
      </c>
      <c r="C352" s="10" t="n">
        <v>18036</v>
      </c>
      <c r="D352" s="10" t="n">
        <v>1455049.5</v>
      </c>
      <c r="E352" s="9" t="n">
        <v>10</v>
      </c>
      <c r="F352" s="9" t="n">
        <v>965</v>
      </c>
      <c r="G352" s="9" t="n">
        <v>861</v>
      </c>
      <c r="H352" s="9" t="n">
        <f aca="false">WEEKNUM(A352,21)</f>
        <v>21</v>
      </c>
      <c r="I352" s="8" t="n">
        <f aca="false">A352-WEEKDAY(A352,3)</f>
        <v>43969</v>
      </c>
      <c r="J352" s="10" t="n">
        <f aca="false">IFERROR(D352/E352,"")</f>
        <v>145504.95</v>
      </c>
      <c r="K352" s="11" t="n">
        <f aca="false">IFERROR(D352/F352,"")</f>
        <v>1507.82331606218</v>
      </c>
    </row>
    <row r="353" customFormat="false" ht="15" hidden="false" customHeight="false" outlineLevel="0" collapsed="false">
      <c r="A353" s="8" t="n">
        <v>43974</v>
      </c>
      <c r="B353" s="9" t="s">
        <v>25</v>
      </c>
      <c r="C353" s="10" t="n">
        <v>89556</v>
      </c>
      <c r="D353" s="10" t="n">
        <v>7173117</v>
      </c>
      <c r="E353" s="9" t="n">
        <v>36</v>
      </c>
      <c r="F353" s="9" t="n">
        <v>5651</v>
      </c>
      <c r="G353" s="9" t="n">
        <v>5212</v>
      </c>
      <c r="H353" s="9" t="n">
        <f aca="false">WEEKNUM(A353,21)</f>
        <v>21</v>
      </c>
      <c r="I353" s="8" t="n">
        <f aca="false">A353-WEEKDAY(A353,3)</f>
        <v>43969</v>
      </c>
      <c r="J353" s="10" t="n">
        <f aca="false">IFERROR(D353/E353,"")</f>
        <v>199253.25</v>
      </c>
      <c r="K353" s="11" t="n">
        <f aca="false">IFERROR(D353/F353,"")</f>
        <v>1269.35356574058</v>
      </c>
    </row>
    <row r="354" customFormat="false" ht="15" hidden="false" customHeight="false" outlineLevel="0" collapsed="false">
      <c r="A354" s="8" t="n">
        <v>43974</v>
      </c>
      <c r="B354" s="9" t="s">
        <v>26</v>
      </c>
      <c r="C354" s="10" t="n">
        <v>102889.5</v>
      </c>
      <c r="D354" s="10" t="n">
        <v>8089143</v>
      </c>
      <c r="E354" s="9" t="n">
        <v>31</v>
      </c>
      <c r="F354" s="9" t="n">
        <v>6276</v>
      </c>
      <c r="G354" s="9" t="n">
        <v>5801</v>
      </c>
      <c r="H354" s="9" t="n">
        <f aca="false">WEEKNUM(A354,21)</f>
        <v>21</v>
      </c>
      <c r="I354" s="8" t="n">
        <f aca="false">A354-WEEKDAY(A354,3)</f>
        <v>43969</v>
      </c>
      <c r="J354" s="10" t="n">
        <f aca="false">IFERROR(D354/E354,"")</f>
        <v>260940.096774194</v>
      </c>
      <c r="K354" s="11" t="n">
        <f aca="false">IFERROR(D354/F354,"")</f>
        <v>1288.90105162524</v>
      </c>
    </row>
    <row r="355" customFormat="false" ht="15" hidden="false" customHeight="false" outlineLevel="0" collapsed="false">
      <c r="A355" s="8" t="n">
        <v>43974</v>
      </c>
      <c r="B355" s="9" t="s">
        <v>27</v>
      </c>
      <c r="C355" s="10" t="n">
        <v>42999</v>
      </c>
      <c r="D355" s="10" t="n">
        <v>3883215</v>
      </c>
      <c r="E355" s="9" t="n">
        <v>21</v>
      </c>
      <c r="F355" s="9" t="n">
        <v>2460</v>
      </c>
      <c r="G355" s="9" t="n">
        <v>2226</v>
      </c>
      <c r="H355" s="9" t="n">
        <f aca="false">WEEKNUM(A355,21)</f>
        <v>21</v>
      </c>
      <c r="I355" s="8" t="n">
        <f aca="false">A355-WEEKDAY(A355,3)</f>
        <v>43969</v>
      </c>
      <c r="J355" s="10" t="n">
        <f aca="false">IFERROR(D355/E355,"")</f>
        <v>184915</v>
      </c>
      <c r="K355" s="11" t="n">
        <f aca="false">IFERROR(D355/F355,"")</f>
        <v>1578.54268292683</v>
      </c>
    </row>
    <row r="356" customFormat="false" ht="15" hidden="false" customHeight="false" outlineLevel="0" collapsed="false">
      <c r="A356" s="8" t="n">
        <v>43974</v>
      </c>
      <c r="B356" s="9" t="s">
        <v>28</v>
      </c>
      <c r="C356" s="10" t="n">
        <v>42703.5</v>
      </c>
      <c r="D356" s="10" t="n">
        <v>3628726.5</v>
      </c>
      <c r="E356" s="9" t="n">
        <v>21</v>
      </c>
      <c r="F356" s="9" t="n">
        <v>2340</v>
      </c>
      <c r="G356" s="9" t="n">
        <v>2146</v>
      </c>
      <c r="H356" s="9" t="n">
        <f aca="false">WEEKNUM(A356,21)</f>
        <v>21</v>
      </c>
      <c r="I356" s="8" t="n">
        <f aca="false">A356-WEEKDAY(A356,3)</f>
        <v>43969</v>
      </c>
      <c r="J356" s="10" t="n">
        <f aca="false">IFERROR(D356/E356,"")</f>
        <v>172796.5</v>
      </c>
      <c r="K356" s="11" t="n">
        <f aca="false">IFERROR(D356/F356,"")</f>
        <v>1550.73782051282</v>
      </c>
    </row>
    <row r="357" customFormat="false" ht="15" hidden="false" customHeight="false" outlineLevel="0" collapsed="false">
      <c r="A357" s="8" t="n">
        <v>43974</v>
      </c>
      <c r="B357" s="9" t="s">
        <v>29</v>
      </c>
      <c r="C357" s="10" t="n">
        <v>36997.5</v>
      </c>
      <c r="D357" s="10" t="n">
        <v>3089140.5</v>
      </c>
      <c r="E357" s="9" t="n">
        <v>19</v>
      </c>
      <c r="F357" s="9" t="n">
        <v>2195</v>
      </c>
      <c r="G357" s="9" t="n">
        <v>1999</v>
      </c>
      <c r="H357" s="9" t="n">
        <f aca="false">WEEKNUM(A357,21)</f>
        <v>21</v>
      </c>
      <c r="I357" s="8" t="n">
        <f aca="false">A357-WEEKDAY(A357,3)</f>
        <v>43969</v>
      </c>
      <c r="J357" s="10" t="n">
        <f aca="false">IFERROR(D357/E357,"")</f>
        <v>162586.342105263</v>
      </c>
      <c r="K357" s="11" t="n">
        <f aca="false">IFERROR(D357/F357,"")</f>
        <v>1407.35330296128</v>
      </c>
    </row>
    <row r="358" customFormat="false" ht="15" hidden="false" customHeight="false" outlineLevel="0" collapsed="false">
      <c r="A358" s="8" t="n">
        <v>43974</v>
      </c>
      <c r="B358" s="9" t="s">
        <v>30</v>
      </c>
      <c r="C358" s="10" t="n">
        <v>275793</v>
      </c>
      <c r="D358" s="10" t="n">
        <v>26806626</v>
      </c>
      <c r="E358" s="9" t="n">
        <v>54</v>
      </c>
      <c r="F358" s="9" t="n">
        <v>16221</v>
      </c>
      <c r="G358" s="9" t="n">
        <v>15065</v>
      </c>
      <c r="H358" s="9" t="n">
        <f aca="false">WEEKNUM(A358,21)</f>
        <v>21</v>
      </c>
      <c r="I358" s="8" t="n">
        <f aca="false">A358-WEEKDAY(A358,3)</f>
        <v>43969</v>
      </c>
      <c r="J358" s="10" t="n">
        <f aca="false">IFERROR(D358/E358,"")</f>
        <v>496419</v>
      </c>
      <c r="K358" s="11" t="n">
        <f aca="false">IFERROR(D358/F358,"")</f>
        <v>1652.5877566118</v>
      </c>
    </row>
    <row r="359" customFormat="false" ht="15" hidden="false" customHeight="false" outlineLevel="0" collapsed="false">
      <c r="A359" s="8" t="n">
        <v>43974</v>
      </c>
      <c r="B359" s="9" t="s">
        <v>31</v>
      </c>
      <c r="C359" s="10" t="n">
        <v>292018.5</v>
      </c>
      <c r="D359" s="10" t="n">
        <v>28590910.5</v>
      </c>
      <c r="E359" s="9" t="n">
        <v>60</v>
      </c>
      <c r="F359" s="9" t="n">
        <v>17295</v>
      </c>
      <c r="G359" s="9" t="n">
        <v>16010</v>
      </c>
      <c r="H359" s="9" t="n">
        <f aca="false">WEEKNUM(A359,21)</f>
        <v>21</v>
      </c>
      <c r="I359" s="8" t="n">
        <f aca="false">A359-WEEKDAY(A359,3)</f>
        <v>43969</v>
      </c>
      <c r="J359" s="10" t="n">
        <f aca="false">IFERROR(D359/E359,"")</f>
        <v>476515.175</v>
      </c>
      <c r="K359" s="11" t="n">
        <f aca="false">IFERROR(D359/F359,"")</f>
        <v>1653.13156981787</v>
      </c>
    </row>
    <row r="360" customFormat="false" ht="15" hidden="false" customHeight="false" outlineLevel="0" collapsed="false">
      <c r="A360" s="8" t="n">
        <v>43974</v>
      </c>
      <c r="B360" s="9" t="s">
        <v>32</v>
      </c>
      <c r="C360" s="10" t="n">
        <v>38176.5</v>
      </c>
      <c r="D360" s="10" t="n">
        <v>3385372.5</v>
      </c>
      <c r="E360" s="9" t="n">
        <v>20</v>
      </c>
      <c r="F360" s="9" t="n">
        <v>2266</v>
      </c>
      <c r="G360" s="9" t="n">
        <v>1993</v>
      </c>
      <c r="H360" s="9" t="n">
        <f aca="false">WEEKNUM(A360,21)</f>
        <v>21</v>
      </c>
      <c r="I360" s="8" t="n">
        <f aca="false">A360-WEEKDAY(A360,3)</f>
        <v>43969</v>
      </c>
      <c r="J360" s="10" t="n">
        <f aca="false">IFERROR(D360/E360,"")</f>
        <v>169268.625</v>
      </c>
      <c r="K360" s="11" t="n">
        <f aca="false">IFERROR(D360/F360,"")</f>
        <v>1493.9860988526</v>
      </c>
    </row>
    <row r="361" customFormat="false" ht="15" hidden="false" customHeight="false" outlineLevel="0" collapsed="false">
      <c r="A361" s="8" t="n">
        <v>43974</v>
      </c>
      <c r="B361" s="9" t="s">
        <v>33</v>
      </c>
      <c r="C361" s="10" t="n">
        <v>17943</v>
      </c>
      <c r="D361" s="10" t="n">
        <v>1457391</v>
      </c>
      <c r="E361" s="9" t="n">
        <v>18</v>
      </c>
      <c r="F361" s="9" t="n">
        <v>1031</v>
      </c>
      <c r="G361" s="9" t="n">
        <v>918</v>
      </c>
      <c r="H361" s="9" t="n">
        <f aca="false">WEEKNUM(A361,21)</f>
        <v>21</v>
      </c>
      <c r="I361" s="8" t="n">
        <f aca="false">A361-WEEKDAY(A361,3)</f>
        <v>43969</v>
      </c>
      <c r="J361" s="10" t="n">
        <f aca="false">IFERROR(D361/E361,"")</f>
        <v>80966.1666666667</v>
      </c>
      <c r="K361" s="11" t="n">
        <f aca="false">IFERROR(D361/F361,"")</f>
        <v>1413.57032007759</v>
      </c>
    </row>
    <row r="362" customFormat="false" ht="15" hidden="false" customHeight="false" outlineLevel="0" collapsed="false">
      <c r="A362" s="8" t="n">
        <v>43974</v>
      </c>
      <c r="B362" s="9" t="s">
        <v>34</v>
      </c>
      <c r="C362" s="10" t="n">
        <v>21958.5</v>
      </c>
      <c r="D362" s="10" t="n">
        <v>1854001.5</v>
      </c>
      <c r="E362" s="9" t="n">
        <v>17</v>
      </c>
      <c r="F362" s="9" t="n">
        <v>1294</v>
      </c>
      <c r="G362" s="9" t="n">
        <v>1155</v>
      </c>
      <c r="H362" s="9" t="n">
        <f aca="false">WEEKNUM(A362,21)</f>
        <v>21</v>
      </c>
      <c r="I362" s="8" t="n">
        <f aca="false">A362-WEEKDAY(A362,3)</f>
        <v>43969</v>
      </c>
      <c r="J362" s="10" t="n">
        <f aca="false">IFERROR(D362/E362,"")</f>
        <v>109058.911764706</v>
      </c>
      <c r="K362" s="11" t="n">
        <f aca="false">IFERROR(D362/F362,"")</f>
        <v>1432.76777434312</v>
      </c>
    </row>
    <row r="363" customFormat="false" ht="15" hidden="false" customHeight="false" outlineLevel="0" collapsed="false">
      <c r="A363" s="8" t="n">
        <v>43974</v>
      </c>
      <c r="B363" s="9" t="s">
        <v>38</v>
      </c>
      <c r="C363" s="10" t="n">
        <v>14167.5</v>
      </c>
      <c r="D363" s="10" t="n">
        <v>1315075.5</v>
      </c>
      <c r="E363" s="9" t="n">
        <v>15</v>
      </c>
      <c r="F363" s="9" t="n">
        <v>840</v>
      </c>
      <c r="G363" s="9" t="n">
        <v>725</v>
      </c>
      <c r="H363" s="9" t="n">
        <f aca="false">WEEKNUM(A363,21)</f>
        <v>21</v>
      </c>
      <c r="I363" s="8" t="n">
        <f aca="false">A363-WEEKDAY(A363,3)</f>
        <v>43969</v>
      </c>
      <c r="J363" s="10" t="n">
        <f aca="false">IFERROR(D363/E363,"")</f>
        <v>87671.7</v>
      </c>
      <c r="K363" s="11" t="n">
        <f aca="false">IFERROR(D363/F363,"")</f>
        <v>1565.56607142857</v>
      </c>
    </row>
    <row r="364" customFormat="false" ht="15" hidden="false" customHeight="false" outlineLevel="0" collapsed="false">
      <c r="A364" s="8" t="n">
        <v>43974</v>
      </c>
      <c r="B364" s="9" t="s">
        <v>35</v>
      </c>
      <c r="C364" s="10" t="n">
        <v>456885</v>
      </c>
      <c r="D364" s="10" t="n">
        <v>46408080</v>
      </c>
      <c r="E364" s="9" t="n">
        <v>125</v>
      </c>
      <c r="F364" s="9" t="n">
        <v>24574</v>
      </c>
      <c r="G364" s="9" t="n">
        <v>22609</v>
      </c>
      <c r="H364" s="9" t="n">
        <f aca="false">WEEKNUM(A364,21)</f>
        <v>21</v>
      </c>
      <c r="I364" s="8" t="n">
        <f aca="false">A364-WEEKDAY(A364,3)</f>
        <v>43969</v>
      </c>
      <c r="J364" s="10" t="n">
        <f aca="false">IFERROR(D364/E364,"")</f>
        <v>371264.64</v>
      </c>
      <c r="K364" s="11" t="n">
        <f aca="false">IFERROR(D364/F364,"")</f>
        <v>1888.50329616668</v>
      </c>
    </row>
    <row r="365" customFormat="false" ht="15" hidden="false" customHeight="false" outlineLevel="0" collapsed="false">
      <c r="A365" s="8" t="n">
        <v>43974</v>
      </c>
      <c r="B365" s="9" t="s">
        <v>36</v>
      </c>
      <c r="C365" s="10" t="n">
        <v>356982</v>
      </c>
      <c r="D365" s="10" t="n">
        <v>35103926.71155</v>
      </c>
      <c r="E365" s="9" t="n">
        <v>129</v>
      </c>
      <c r="F365" s="9" t="n">
        <v>19856</v>
      </c>
      <c r="G365" s="9" t="n">
        <v>18325</v>
      </c>
      <c r="H365" s="9" t="n">
        <f aca="false">WEEKNUM(A365,21)</f>
        <v>21</v>
      </c>
      <c r="I365" s="8" t="n">
        <f aca="false">A365-WEEKDAY(A365,3)</f>
        <v>43969</v>
      </c>
      <c r="J365" s="10" t="n">
        <f aca="false">IFERROR(D365/E365,"")</f>
        <v>272123.462880233</v>
      </c>
      <c r="K365" s="11" t="n">
        <f aca="false">IFERROR(D365/F365,"")</f>
        <v>1767.92539844631</v>
      </c>
    </row>
    <row r="366" customFormat="false" ht="15" hidden="false" customHeight="false" outlineLevel="0" collapsed="false">
      <c r="A366" s="8" t="n">
        <v>43974</v>
      </c>
      <c r="B366" s="9" t="s">
        <v>37</v>
      </c>
      <c r="C366" s="10" t="n">
        <v>14773.5</v>
      </c>
      <c r="D366" s="10" t="n">
        <v>1241383.5</v>
      </c>
      <c r="E366" s="9" t="n">
        <v>10</v>
      </c>
      <c r="F366" s="9" t="n">
        <v>828</v>
      </c>
      <c r="G366" s="9" t="n">
        <v>734</v>
      </c>
      <c r="H366" s="9" t="n">
        <f aca="false">WEEKNUM(A366,21)</f>
        <v>21</v>
      </c>
      <c r="I366" s="8" t="n">
        <f aca="false">A366-WEEKDAY(A366,3)</f>
        <v>43969</v>
      </c>
      <c r="J366" s="10" t="n">
        <f aca="false">IFERROR(D366/E366,"")</f>
        <v>124138.35</v>
      </c>
      <c r="K366" s="11" t="n">
        <f aca="false">IFERROR(D366/F366,"")</f>
        <v>1499.25543478261</v>
      </c>
    </row>
    <row r="367" customFormat="false" ht="15" hidden="false" customHeight="false" outlineLevel="0" collapsed="false">
      <c r="A367" s="8" t="n">
        <v>43975</v>
      </c>
      <c r="B367" s="9" t="s">
        <v>25</v>
      </c>
      <c r="C367" s="10" t="n">
        <v>74649</v>
      </c>
      <c r="D367" s="10" t="n">
        <v>6098236.5</v>
      </c>
      <c r="E367" s="9" t="n">
        <v>36</v>
      </c>
      <c r="F367" s="9" t="n">
        <v>4915</v>
      </c>
      <c r="G367" s="9" t="n">
        <v>4562</v>
      </c>
      <c r="H367" s="9" t="n">
        <f aca="false">WEEKNUM(A367,21)</f>
        <v>21</v>
      </c>
      <c r="I367" s="8" t="n">
        <f aca="false">A367-WEEKDAY(A367,3)</f>
        <v>43969</v>
      </c>
      <c r="J367" s="10" t="n">
        <f aca="false">IFERROR(D367/E367,"")</f>
        <v>169395.458333333</v>
      </c>
      <c r="K367" s="11" t="n">
        <f aca="false">IFERROR(D367/F367,"")</f>
        <v>1240.73987792472</v>
      </c>
    </row>
    <row r="368" customFormat="false" ht="15" hidden="false" customHeight="false" outlineLevel="0" collapsed="false">
      <c r="A368" s="8" t="n">
        <v>43975</v>
      </c>
      <c r="B368" s="9" t="s">
        <v>26</v>
      </c>
      <c r="C368" s="10" t="n">
        <v>76663.5</v>
      </c>
      <c r="D368" s="10" t="n">
        <v>6451032</v>
      </c>
      <c r="E368" s="9" t="n">
        <v>31</v>
      </c>
      <c r="F368" s="9" t="n">
        <v>5035</v>
      </c>
      <c r="G368" s="9" t="n">
        <v>4683</v>
      </c>
      <c r="H368" s="9" t="n">
        <f aca="false">WEEKNUM(A368,21)</f>
        <v>21</v>
      </c>
      <c r="I368" s="8" t="n">
        <f aca="false">A368-WEEKDAY(A368,3)</f>
        <v>43969</v>
      </c>
      <c r="J368" s="10" t="n">
        <f aca="false">IFERROR(D368/E368,"")</f>
        <v>208097.806451613</v>
      </c>
      <c r="K368" s="11" t="n">
        <f aca="false">IFERROR(D368/F368,"")</f>
        <v>1281.23773584906</v>
      </c>
    </row>
    <row r="369" customFormat="false" ht="15" hidden="false" customHeight="false" outlineLevel="0" collapsed="false">
      <c r="A369" s="8" t="n">
        <v>43975</v>
      </c>
      <c r="B369" s="9" t="s">
        <v>27</v>
      </c>
      <c r="C369" s="10" t="n">
        <v>38194.5</v>
      </c>
      <c r="D369" s="10" t="n">
        <v>3449302.5</v>
      </c>
      <c r="E369" s="9" t="n">
        <v>21</v>
      </c>
      <c r="F369" s="9" t="n">
        <v>2254</v>
      </c>
      <c r="G369" s="9" t="n">
        <v>2061</v>
      </c>
      <c r="H369" s="9" t="n">
        <f aca="false">WEEKNUM(A369,21)</f>
        <v>21</v>
      </c>
      <c r="I369" s="8" t="n">
        <f aca="false">A369-WEEKDAY(A369,3)</f>
        <v>43969</v>
      </c>
      <c r="J369" s="10" t="n">
        <f aca="false">IFERROR(D369/E369,"")</f>
        <v>164252.5</v>
      </c>
      <c r="K369" s="11" t="n">
        <f aca="false">IFERROR(D369/F369,"")</f>
        <v>1530.30279503106</v>
      </c>
    </row>
    <row r="370" customFormat="false" ht="15" hidden="false" customHeight="false" outlineLevel="0" collapsed="false">
      <c r="A370" s="8" t="n">
        <v>43975</v>
      </c>
      <c r="B370" s="9" t="s">
        <v>28</v>
      </c>
      <c r="C370" s="10" t="n">
        <v>34303.5</v>
      </c>
      <c r="D370" s="10" t="n">
        <v>2924746.5</v>
      </c>
      <c r="E370" s="9" t="n">
        <v>20</v>
      </c>
      <c r="F370" s="9" t="n">
        <v>1999</v>
      </c>
      <c r="G370" s="9" t="n">
        <v>1829</v>
      </c>
      <c r="H370" s="9" t="n">
        <f aca="false">WEEKNUM(A370,21)</f>
        <v>21</v>
      </c>
      <c r="I370" s="8" t="n">
        <f aca="false">A370-WEEKDAY(A370,3)</f>
        <v>43969</v>
      </c>
      <c r="J370" s="10" t="n">
        <f aca="false">IFERROR(D370/E370,"")</f>
        <v>146237.325</v>
      </c>
      <c r="K370" s="11" t="n">
        <f aca="false">IFERROR(D370/F370,"")</f>
        <v>1463.1048024012</v>
      </c>
    </row>
    <row r="371" customFormat="false" ht="15" hidden="false" customHeight="false" outlineLevel="0" collapsed="false">
      <c r="A371" s="8" t="n">
        <v>43975</v>
      </c>
      <c r="B371" s="9" t="s">
        <v>29</v>
      </c>
      <c r="C371" s="10" t="n">
        <v>29824.5</v>
      </c>
      <c r="D371" s="10" t="n">
        <v>2526909</v>
      </c>
      <c r="E371" s="9" t="n">
        <v>19</v>
      </c>
      <c r="F371" s="9" t="n">
        <v>1868</v>
      </c>
      <c r="G371" s="9" t="n">
        <v>1706</v>
      </c>
      <c r="H371" s="9" t="n">
        <f aca="false">WEEKNUM(A371,21)</f>
        <v>21</v>
      </c>
      <c r="I371" s="8" t="n">
        <f aca="false">A371-WEEKDAY(A371,3)</f>
        <v>43969</v>
      </c>
      <c r="J371" s="10" t="n">
        <f aca="false">IFERROR(D371/E371,"")</f>
        <v>132995.210526316</v>
      </c>
      <c r="K371" s="11" t="n">
        <f aca="false">IFERROR(D371/F371,"")</f>
        <v>1352.73501070664</v>
      </c>
    </row>
    <row r="372" customFormat="false" ht="15" hidden="false" customHeight="false" outlineLevel="0" collapsed="false">
      <c r="A372" s="8" t="n">
        <v>43975</v>
      </c>
      <c r="B372" s="9" t="s">
        <v>30</v>
      </c>
      <c r="C372" s="10" t="n">
        <v>193719</v>
      </c>
      <c r="D372" s="10" t="n">
        <v>19071117</v>
      </c>
      <c r="E372" s="9" t="n">
        <v>54</v>
      </c>
      <c r="F372" s="9" t="n">
        <v>12211</v>
      </c>
      <c r="G372" s="9" t="n">
        <v>11427</v>
      </c>
      <c r="H372" s="9" t="n">
        <f aca="false">WEEKNUM(A372,21)</f>
        <v>21</v>
      </c>
      <c r="I372" s="8" t="n">
        <f aca="false">A372-WEEKDAY(A372,3)</f>
        <v>43969</v>
      </c>
      <c r="J372" s="10" t="n">
        <f aca="false">IFERROR(D372/E372,"")</f>
        <v>353168.833333333</v>
      </c>
      <c r="K372" s="11" t="n">
        <f aca="false">IFERROR(D372/F372,"")</f>
        <v>1561.79813283105</v>
      </c>
    </row>
    <row r="373" customFormat="false" ht="15" hidden="false" customHeight="false" outlineLevel="0" collapsed="false">
      <c r="A373" s="8" t="n">
        <v>43975</v>
      </c>
      <c r="B373" s="9" t="s">
        <v>31</v>
      </c>
      <c r="C373" s="10" t="n">
        <v>200029.5</v>
      </c>
      <c r="D373" s="10" t="n">
        <v>19959801</v>
      </c>
      <c r="E373" s="9" t="n">
        <v>60</v>
      </c>
      <c r="F373" s="9" t="n">
        <v>12822</v>
      </c>
      <c r="G373" s="9" t="n">
        <v>11916</v>
      </c>
      <c r="H373" s="9" t="n">
        <f aca="false">WEEKNUM(A373,21)</f>
        <v>21</v>
      </c>
      <c r="I373" s="8" t="n">
        <f aca="false">A373-WEEKDAY(A373,3)</f>
        <v>43969</v>
      </c>
      <c r="J373" s="10" t="n">
        <f aca="false">IFERROR(D373/E373,"")</f>
        <v>332663.35</v>
      </c>
      <c r="K373" s="11" t="n">
        <f aca="false">IFERROR(D373/F373,"")</f>
        <v>1556.68390266729</v>
      </c>
    </row>
    <row r="374" customFormat="false" ht="15" hidden="false" customHeight="false" outlineLevel="0" collapsed="false">
      <c r="A374" s="8" t="n">
        <v>43975</v>
      </c>
      <c r="B374" s="9" t="s">
        <v>32</v>
      </c>
      <c r="C374" s="10" t="n">
        <v>31854</v>
      </c>
      <c r="D374" s="10" t="n">
        <v>2915533.5</v>
      </c>
      <c r="E374" s="9" t="n">
        <v>20</v>
      </c>
      <c r="F374" s="9" t="n">
        <v>2015</v>
      </c>
      <c r="G374" s="9" t="n">
        <v>1803</v>
      </c>
      <c r="H374" s="9" t="n">
        <f aca="false">WEEKNUM(A374,21)</f>
        <v>21</v>
      </c>
      <c r="I374" s="8" t="n">
        <f aca="false">A374-WEEKDAY(A374,3)</f>
        <v>43969</v>
      </c>
      <c r="J374" s="10" t="n">
        <f aca="false">IFERROR(D374/E374,"")</f>
        <v>145776.675</v>
      </c>
      <c r="K374" s="11" t="n">
        <f aca="false">IFERROR(D374/F374,"")</f>
        <v>1446.91488833747</v>
      </c>
    </row>
    <row r="375" customFormat="false" ht="15" hidden="false" customHeight="false" outlineLevel="0" collapsed="false">
      <c r="A375" s="8" t="n">
        <v>43975</v>
      </c>
      <c r="B375" s="9" t="s">
        <v>33</v>
      </c>
      <c r="C375" s="10" t="n">
        <v>17197.5</v>
      </c>
      <c r="D375" s="10" t="n">
        <v>1386262.5</v>
      </c>
      <c r="E375" s="9" t="n">
        <v>18</v>
      </c>
      <c r="F375" s="9" t="n">
        <v>1006</v>
      </c>
      <c r="G375" s="9" t="n">
        <v>904</v>
      </c>
      <c r="H375" s="9" t="n">
        <f aca="false">WEEKNUM(A375,21)</f>
        <v>21</v>
      </c>
      <c r="I375" s="8" t="n">
        <f aca="false">A375-WEEKDAY(A375,3)</f>
        <v>43969</v>
      </c>
      <c r="J375" s="10" t="n">
        <f aca="false">IFERROR(D375/E375,"")</f>
        <v>77014.5833333333</v>
      </c>
      <c r="K375" s="11" t="n">
        <f aca="false">IFERROR(D375/F375,"")</f>
        <v>1377.99453280318</v>
      </c>
    </row>
    <row r="376" customFormat="false" ht="15" hidden="false" customHeight="false" outlineLevel="0" collapsed="false">
      <c r="A376" s="8" t="n">
        <v>43975</v>
      </c>
      <c r="B376" s="9" t="s">
        <v>34</v>
      </c>
      <c r="C376" s="10" t="n">
        <v>18075</v>
      </c>
      <c r="D376" s="10" t="n">
        <v>1548099</v>
      </c>
      <c r="E376" s="9" t="n">
        <v>17</v>
      </c>
      <c r="F376" s="9" t="n">
        <v>1128</v>
      </c>
      <c r="G376" s="9" t="n">
        <v>1001</v>
      </c>
      <c r="H376" s="9" t="n">
        <f aca="false">WEEKNUM(A376,21)</f>
        <v>21</v>
      </c>
      <c r="I376" s="8" t="n">
        <f aca="false">A376-WEEKDAY(A376,3)</f>
        <v>43969</v>
      </c>
      <c r="J376" s="10" t="n">
        <f aca="false">IFERROR(D376/E376,"")</f>
        <v>91064.6470588235</v>
      </c>
      <c r="K376" s="11" t="n">
        <f aca="false">IFERROR(D376/F376,"")</f>
        <v>1372.42819148936</v>
      </c>
    </row>
    <row r="377" customFormat="false" ht="15" hidden="false" customHeight="false" outlineLevel="0" collapsed="false">
      <c r="A377" s="8" t="n">
        <v>43975</v>
      </c>
      <c r="B377" s="9" t="s">
        <v>38</v>
      </c>
      <c r="C377" s="10" t="n">
        <v>12666</v>
      </c>
      <c r="D377" s="10" t="n">
        <v>1184865</v>
      </c>
      <c r="E377" s="9" t="n">
        <v>15</v>
      </c>
      <c r="F377" s="9" t="n">
        <v>779</v>
      </c>
      <c r="G377" s="9" t="n">
        <v>673</v>
      </c>
      <c r="H377" s="9" t="n">
        <f aca="false">WEEKNUM(A377,21)</f>
        <v>21</v>
      </c>
      <c r="I377" s="8" t="n">
        <f aca="false">A377-WEEKDAY(A377,3)</f>
        <v>43969</v>
      </c>
      <c r="J377" s="10" t="n">
        <f aca="false">IFERROR(D377/E377,"")</f>
        <v>78991</v>
      </c>
      <c r="K377" s="11" t="n">
        <f aca="false">IFERROR(D377/F377,"")</f>
        <v>1521.00770218229</v>
      </c>
    </row>
    <row r="378" customFormat="false" ht="15" hidden="false" customHeight="false" outlineLevel="0" collapsed="false">
      <c r="A378" s="8" t="n">
        <v>43975</v>
      </c>
      <c r="B378" s="9" t="s">
        <v>35</v>
      </c>
      <c r="C378" s="10" t="n">
        <v>375744</v>
      </c>
      <c r="D378" s="10" t="n">
        <v>38191381.5</v>
      </c>
      <c r="E378" s="9" t="n">
        <v>125</v>
      </c>
      <c r="F378" s="9" t="n">
        <v>21004</v>
      </c>
      <c r="G378" s="9" t="n">
        <v>19556</v>
      </c>
      <c r="H378" s="9" t="n">
        <f aca="false">WEEKNUM(A378,21)</f>
        <v>21</v>
      </c>
      <c r="I378" s="8" t="n">
        <f aca="false">A378-WEEKDAY(A378,3)</f>
        <v>43969</v>
      </c>
      <c r="J378" s="10" t="n">
        <f aca="false">IFERROR(D378/E378,"")</f>
        <v>305531.052</v>
      </c>
      <c r="K378" s="11" t="n">
        <f aca="false">IFERROR(D378/F378,"")</f>
        <v>1818.29087316702</v>
      </c>
    </row>
    <row r="379" customFormat="false" ht="15" hidden="false" customHeight="false" outlineLevel="0" collapsed="false">
      <c r="A379" s="8" t="n">
        <v>43975</v>
      </c>
      <c r="B379" s="9" t="s">
        <v>36</v>
      </c>
      <c r="C379" s="10" t="n">
        <v>287740.5</v>
      </c>
      <c r="D379" s="10" t="n">
        <v>28188534</v>
      </c>
      <c r="E379" s="9" t="n">
        <v>129</v>
      </c>
      <c r="F379" s="9" t="n">
        <v>16432</v>
      </c>
      <c r="G379" s="9" t="n">
        <v>15345</v>
      </c>
      <c r="H379" s="9" t="n">
        <f aca="false">WEEKNUM(A379,21)</f>
        <v>21</v>
      </c>
      <c r="I379" s="8" t="n">
        <f aca="false">A379-WEEKDAY(A379,3)</f>
        <v>43969</v>
      </c>
      <c r="J379" s="10" t="n">
        <f aca="false">IFERROR(D379/E379,"")</f>
        <v>218515.76744186</v>
      </c>
      <c r="K379" s="11" t="n">
        <f aca="false">IFERROR(D379/F379,"")</f>
        <v>1715.46579844206</v>
      </c>
    </row>
    <row r="380" customFormat="false" ht="15" hidden="false" customHeight="false" outlineLevel="0" collapsed="false">
      <c r="A380" s="8" t="n">
        <v>43975</v>
      </c>
      <c r="B380" s="9" t="s">
        <v>37</v>
      </c>
      <c r="C380" s="10" t="n">
        <v>9994.5</v>
      </c>
      <c r="D380" s="10" t="n">
        <v>828984</v>
      </c>
      <c r="E380" s="9" t="n">
        <v>10</v>
      </c>
      <c r="F380" s="9" t="n">
        <v>639</v>
      </c>
      <c r="G380" s="9" t="n">
        <v>557</v>
      </c>
      <c r="H380" s="9" t="n">
        <f aca="false">WEEKNUM(A380,21)</f>
        <v>21</v>
      </c>
      <c r="I380" s="8" t="n">
        <f aca="false">A380-WEEKDAY(A380,3)</f>
        <v>43969</v>
      </c>
      <c r="J380" s="10" t="n">
        <f aca="false">IFERROR(D380/E380,"")</f>
        <v>82898.4</v>
      </c>
      <c r="K380" s="11" t="n">
        <f aca="false">IFERROR(D380/F380,"")</f>
        <v>1297.31455399061</v>
      </c>
    </row>
    <row r="381" customFormat="false" ht="15" hidden="false" customHeight="false" outlineLevel="0" collapsed="false">
      <c r="A381" s="8" t="n">
        <v>43976</v>
      </c>
      <c r="B381" s="9" t="s">
        <v>25</v>
      </c>
      <c r="C381" s="10" t="n">
        <v>66316.5</v>
      </c>
      <c r="D381" s="10" t="n">
        <v>5704650</v>
      </c>
      <c r="E381" s="9" t="n">
        <v>36</v>
      </c>
      <c r="F381" s="9" t="n">
        <v>4641</v>
      </c>
      <c r="G381" s="9" t="n">
        <v>4274</v>
      </c>
      <c r="H381" s="9" t="n">
        <f aca="false">WEEKNUM(A381,21)</f>
        <v>22</v>
      </c>
      <c r="I381" s="8" t="n">
        <f aca="false">A381-WEEKDAY(A381,3)</f>
        <v>43976</v>
      </c>
      <c r="J381" s="10" t="n">
        <f aca="false">IFERROR(D381/E381,"")</f>
        <v>158462.5</v>
      </c>
      <c r="K381" s="11" t="n">
        <f aca="false">IFERROR(D381/F381,"")</f>
        <v>1229.18552036199</v>
      </c>
    </row>
    <row r="382" customFormat="false" ht="15" hidden="false" customHeight="false" outlineLevel="0" collapsed="false">
      <c r="A382" s="8" t="n">
        <v>43976</v>
      </c>
      <c r="B382" s="9" t="s">
        <v>26</v>
      </c>
      <c r="C382" s="10" t="n">
        <v>76999.5</v>
      </c>
      <c r="D382" s="10" t="n">
        <v>6645603</v>
      </c>
      <c r="E382" s="9" t="n">
        <v>31</v>
      </c>
      <c r="F382" s="9" t="n">
        <v>5210</v>
      </c>
      <c r="G382" s="9" t="n">
        <v>4841</v>
      </c>
      <c r="H382" s="9" t="n">
        <f aca="false">WEEKNUM(A382,21)</f>
        <v>22</v>
      </c>
      <c r="I382" s="8" t="n">
        <f aca="false">A382-WEEKDAY(A382,3)</f>
        <v>43976</v>
      </c>
      <c r="J382" s="10" t="n">
        <f aca="false">IFERROR(D382/E382,"")</f>
        <v>214374.290322581</v>
      </c>
      <c r="K382" s="11" t="n">
        <f aca="false">IFERROR(D382/F382,"")</f>
        <v>1275.54760076775</v>
      </c>
    </row>
    <row r="383" customFormat="false" ht="15" hidden="false" customHeight="false" outlineLevel="0" collapsed="false">
      <c r="A383" s="8" t="n">
        <v>43976</v>
      </c>
      <c r="B383" s="9" t="s">
        <v>27</v>
      </c>
      <c r="C383" s="10" t="n">
        <v>38740.5</v>
      </c>
      <c r="D383" s="10" t="n">
        <v>3561655.5</v>
      </c>
      <c r="E383" s="9" t="n">
        <v>21</v>
      </c>
      <c r="F383" s="9" t="n">
        <v>2330</v>
      </c>
      <c r="G383" s="9" t="n">
        <v>2142</v>
      </c>
      <c r="H383" s="9" t="n">
        <f aca="false">WEEKNUM(A383,21)</f>
        <v>22</v>
      </c>
      <c r="I383" s="8" t="n">
        <f aca="false">A383-WEEKDAY(A383,3)</f>
        <v>43976</v>
      </c>
      <c r="J383" s="10" t="n">
        <f aca="false">IFERROR(D383/E383,"")</f>
        <v>169602.642857143</v>
      </c>
      <c r="K383" s="11" t="n">
        <f aca="false">IFERROR(D383/F383,"")</f>
        <v>1528.60751072961</v>
      </c>
    </row>
    <row r="384" customFormat="false" ht="15" hidden="false" customHeight="false" outlineLevel="0" collapsed="false">
      <c r="A384" s="8" t="n">
        <v>43976</v>
      </c>
      <c r="B384" s="9" t="s">
        <v>28</v>
      </c>
      <c r="C384" s="10" t="n">
        <v>35592</v>
      </c>
      <c r="D384" s="10" t="n">
        <v>3176580</v>
      </c>
      <c r="E384" s="9" t="n">
        <v>20</v>
      </c>
      <c r="F384" s="9" t="n">
        <v>2087</v>
      </c>
      <c r="G384" s="9" t="n">
        <v>1914</v>
      </c>
      <c r="H384" s="9" t="n">
        <f aca="false">WEEKNUM(A384,21)</f>
        <v>22</v>
      </c>
      <c r="I384" s="8" t="n">
        <f aca="false">A384-WEEKDAY(A384,3)</f>
        <v>43976</v>
      </c>
      <c r="J384" s="10" t="n">
        <f aca="false">IFERROR(D384/E384,"")</f>
        <v>158829</v>
      </c>
      <c r="K384" s="11" t="n">
        <f aca="false">IFERROR(D384/F384,"")</f>
        <v>1522.07954000958</v>
      </c>
    </row>
    <row r="385" customFormat="false" ht="15" hidden="false" customHeight="false" outlineLevel="0" collapsed="false">
      <c r="A385" s="8" t="n">
        <v>43976</v>
      </c>
      <c r="B385" s="9" t="s">
        <v>29</v>
      </c>
      <c r="C385" s="10" t="n">
        <v>28494</v>
      </c>
      <c r="D385" s="10" t="n">
        <v>2512803</v>
      </c>
      <c r="E385" s="9" t="n">
        <v>20</v>
      </c>
      <c r="F385" s="9" t="n">
        <v>1899</v>
      </c>
      <c r="G385" s="9" t="n">
        <v>1738</v>
      </c>
      <c r="H385" s="9" t="n">
        <f aca="false">WEEKNUM(A385,21)</f>
        <v>22</v>
      </c>
      <c r="I385" s="8" t="n">
        <f aca="false">A385-WEEKDAY(A385,3)</f>
        <v>43976</v>
      </c>
      <c r="J385" s="10" t="n">
        <f aca="false">IFERROR(D385/E385,"")</f>
        <v>125640.15</v>
      </c>
      <c r="K385" s="11" t="n">
        <f aca="false">IFERROR(D385/F385,"")</f>
        <v>1323.224328594</v>
      </c>
    </row>
    <row r="386" customFormat="false" ht="15" hidden="false" customHeight="false" outlineLevel="0" collapsed="false">
      <c r="A386" s="8" t="n">
        <v>43976</v>
      </c>
      <c r="B386" s="9" t="s">
        <v>30</v>
      </c>
      <c r="C386" s="10" t="n">
        <v>192948</v>
      </c>
      <c r="D386" s="10" t="n">
        <v>19806927</v>
      </c>
      <c r="E386" s="9" t="n">
        <v>54</v>
      </c>
      <c r="F386" s="9" t="n">
        <v>12336</v>
      </c>
      <c r="G386" s="9" t="n">
        <v>11519</v>
      </c>
      <c r="H386" s="9" t="n">
        <f aca="false">WEEKNUM(A386,21)</f>
        <v>22</v>
      </c>
      <c r="I386" s="8" t="n">
        <f aca="false">A386-WEEKDAY(A386,3)</f>
        <v>43976</v>
      </c>
      <c r="J386" s="10" t="n">
        <f aca="false">IFERROR(D386/E386,"")</f>
        <v>366794.944444444</v>
      </c>
      <c r="K386" s="11" t="n">
        <f aca="false">IFERROR(D386/F386,"")</f>
        <v>1605.61989299611</v>
      </c>
    </row>
    <row r="387" customFormat="false" ht="15" hidden="false" customHeight="false" outlineLevel="0" collapsed="false">
      <c r="A387" s="8" t="n">
        <v>43976</v>
      </c>
      <c r="B387" s="9" t="s">
        <v>31</v>
      </c>
      <c r="C387" s="10" t="n">
        <v>198751.5</v>
      </c>
      <c r="D387" s="10" t="n">
        <v>20582743.5</v>
      </c>
      <c r="E387" s="9" t="n">
        <v>59</v>
      </c>
      <c r="F387" s="9" t="n">
        <v>12983</v>
      </c>
      <c r="G387" s="9" t="n">
        <v>12056</v>
      </c>
      <c r="H387" s="9" t="n">
        <f aca="false">WEEKNUM(A387,21)</f>
        <v>22</v>
      </c>
      <c r="I387" s="8" t="n">
        <f aca="false">A387-WEEKDAY(A387,3)</f>
        <v>43976</v>
      </c>
      <c r="J387" s="10" t="n">
        <f aca="false">IFERROR(D387/E387,"")</f>
        <v>348860.059322034</v>
      </c>
      <c r="K387" s="11" t="n">
        <f aca="false">IFERROR(D387/F387,"")</f>
        <v>1585.36112608796</v>
      </c>
    </row>
    <row r="388" customFormat="false" ht="15" hidden="false" customHeight="false" outlineLevel="0" collapsed="false">
      <c r="A388" s="8" t="n">
        <v>43976</v>
      </c>
      <c r="B388" s="9" t="s">
        <v>32</v>
      </c>
      <c r="C388" s="10" t="n">
        <v>30603</v>
      </c>
      <c r="D388" s="10" t="n">
        <v>2865727.5</v>
      </c>
      <c r="E388" s="9" t="n">
        <v>20</v>
      </c>
      <c r="F388" s="9" t="n">
        <v>2011</v>
      </c>
      <c r="G388" s="9" t="n">
        <v>1791</v>
      </c>
      <c r="H388" s="9" t="n">
        <f aca="false">WEEKNUM(A388,21)</f>
        <v>22</v>
      </c>
      <c r="I388" s="8" t="n">
        <f aca="false">A388-WEEKDAY(A388,3)</f>
        <v>43976</v>
      </c>
      <c r="J388" s="10" t="n">
        <f aca="false">IFERROR(D388/E388,"")</f>
        <v>143286.375</v>
      </c>
      <c r="K388" s="11" t="n">
        <f aca="false">IFERROR(D388/F388,"")</f>
        <v>1425.02610641472</v>
      </c>
    </row>
    <row r="389" customFormat="false" ht="15" hidden="false" customHeight="false" outlineLevel="0" collapsed="false">
      <c r="A389" s="8" t="n">
        <v>43976</v>
      </c>
      <c r="B389" s="9" t="s">
        <v>33</v>
      </c>
      <c r="C389" s="10" t="n">
        <v>15807</v>
      </c>
      <c r="D389" s="10" t="n">
        <v>1326705</v>
      </c>
      <c r="E389" s="9" t="n">
        <v>18</v>
      </c>
      <c r="F389" s="9" t="n">
        <v>989</v>
      </c>
      <c r="G389" s="9" t="n">
        <v>887</v>
      </c>
      <c r="H389" s="9" t="n">
        <f aca="false">WEEKNUM(A389,21)</f>
        <v>22</v>
      </c>
      <c r="I389" s="8" t="n">
        <f aca="false">A389-WEEKDAY(A389,3)</f>
        <v>43976</v>
      </c>
      <c r="J389" s="10" t="n">
        <f aca="false">IFERROR(D389/E389,"")</f>
        <v>73705.8333333333</v>
      </c>
      <c r="K389" s="11" t="n">
        <f aca="false">IFERROR(D389/F389,"")</f>
        <v>1341.46107178969</v>
      </c>
    </row>
    <row r="390" customFormat="false" ht="15" hidden="false" customHeight="false" outlineLevel="0" collapsed="false">
      <c r="A390" s="8" t="n">
        <v>43976</v>
      </c>
      <c r="B390" s="9" t="s">
        <v>34</v>
      </c>
      <c r="C390" s="10" t="n">
        <v>17211</v>
      </c>
      <c r="D390" s="10" t="n">
        <v>1507867.5</v>
      </c>
      <c r="E390" s="9" t="n">
        <v>17</v>
      </c>
      <c r="F390" s="9" t="n">
        <v>1142</v>
      </c>
      <c r="G390" s="9" t="n">
        <v>1020</v>
      </c>
      <c r="H390" s="9" t="n">
        <f aca="false">WEEKNUM(A390,21)</f>
        <v>22</v>
      </c>
      <c r="I390" s="8" t="n">
        <f aca="false">A390-WEEKDAY(A390,3)</f>
        <v>43976</v>
      </c>
      <c r="J390" s="10" t="n">
        <f aca="false">IFERROR(D390/E390,"")</f>
        <v>88698.0882352941</v>
      </c>
      <c r="K390" s="11" t="n">
        <f aca="false">IFERROR(D390/F390,"")</f>
        <v>1320.37434325744</v>
      </c>
    </row>
    <row r="391" customFormat="false" ht="15" hidden="false" customHeight="false" outlineLevel="0" collapsed="false">
      <c r="A391" s="8" t="n">
        <v>43976</v>
      </c>
      <c r="B391" s="9" t="s">
        <v>38</v>
      </c>
      <c r="C391" s="10" t="n">
        <v>13260</v>
      </c>
      <c r="D391" s="10" t="n">
        <v>1230687</v>
      </c>
      <c r="E391" s="9" t="n">
        <v>15</v>
      </c>
      <c r="F391" s="9" t="n">
        <v>835</v>
      </c>
      <c r="G391" s="9" t="n">
        <v>736</v>
      </c>
      <c r="H391" s="9" t="n">
        <f aca="false">WEEKNUM(A391,21)</f>
        <v>22</v>
      </c>
      <c r="I391" s="8" t="n">
        <f aca="false">A391-WEEKDAY(A391,3)</f>
        <v>43976</v>
      </c>
      <c r="J391" s="10" t="n">
        <f aca="false">IFERROR(D391/E391,"")</f>
        <v>82045.8</v>
      </c>
      <c r="K391" s="11" t="n">
        <f aca="false">IFERROR(D391/F391,"")</f>
        <v>1473.87664670659</v>
      </c>
    </row>
    <row r="392" customFormat="false" ht="15" hidden="false" customHeight="false" outlineLevel="0" collapsed="false">
      <c r="A392" s="8" t="n">
        <v>43976</v>
      </c>
      <c r="B392" s="9" t="s">
        <v>35</v>
      </c>
      <c r="C392" s="10" t="n">
        <v>349734</v>
      </c>
      <c r="D392" s="10" t="n">
        <v>36883428</v>
      </c>
      <c r="E392" s="9" t="n">
        <v>124</v>
      </c>
      <c r="F392" s="9" t="n">
        <v>20358</v>
      </c>
      <c r="G392" s="9" t="n">
        <v>18890</v>
      </c>
      <c r="H392" s="9" t="n">
        <f aca="false">WEEKNUM(A392,21)</f>
        <v>22</v>
      </c>
      <c r="I392" s="8" t="n">
        <f aca="false">A392-WEEKDAY(A392,3)</f>
        <v>43976</v>
      </c>
      <c r="J392" s="10" t="n">
        <f aca="false">IFERROR(D392/E392,"")</f>
        <v>297447</v>
      </c>
      <c r="K392" s="11" t="n">
        <f aca="false">IFERROR(D392/F392,"")</f>
        <v>1811.74123194813</v>
      </c>
    </row>
    <row r="393" customFormat="false" ht="15" hidden="false" customHeight="false" outlineLevel="0" collapsed="false">
      <c r="A393" s="8" t="n">
        <v>43976</v>
      </c>
      <c r="B393" s="9" t="s">
        <v>36</v>
      </c>
      <c r="C393" s="10" t="n">
        <v>266983.5</v>
      </c>
      <c r="D393" s="10" t="n">
        <v>27165913.5</v>
      </c>
      <c r="E393" s="9" t="n">
        <v>129</v>
      </c>
      <c r="F393" s="9" t="n">
        <v>15822</v>
      </c>
      <c r="G393" s="9" t="n">
        <v>14753</v>
      </c>
      <c r="H393" s="9" t="n">
        <f aca="false">WEEKNUM(A393,21)</f>
        <v>22</v>
      </c>
      <c r="I393" s="8" t="n">
        <f aca="false">A393-WEEKDAY(A393,3)</f>
        <v>43976</v>
      </c>
      <c r="J393" s="10" t="n">
        <f aca="false">IFERROR(D393/E393,"")</f>
        <v>210588.476744186</v>
      </c>
      <c r="K393" s="11" t="n">
        <f aca="false">IFERROR(D393/F393,"")</f>
        <v>1716.97089495639</v>
      </c>
    </row>
    <row r="394" customFormat="false" ht="15" hidden="false" customHeight="false" outlineLevel="0" collapsed="false">
      <c r="A394" s="8" t="n">
        <v>43976</v>
      </c>
      <c r="B394" s="9" t="s">
        <v>37</v>
      </c>
      <c r="C394" s="10" t="n">
        <v>12280.5</v>
      </c>
      <c r="D394" s="10" t="n">
        <v>1030440</v>
      </c>
      <c r="E394" s="9" t="n">
        <v>10</v>
      </c>
      <c r="F394" s="9" t="n">
        <v>739</v>
      </c>
      <c r="G394" s="9" t="n">
        <v>642</v>
      </c>
      <c r="H394" s="9" t="n">
        <f aca="false">WEEKNUM(A394,21)</f>
        <v>22</v>
      </c>
      <c r="I394" s="8" t="n">
        <f aca="false">A394-WEEKDAY(A394,3)</f>
        <v>43976</v>
      </c>
      <c r="J394" s="10" t="n">
        <f aca="false">IFERROR(D394/E394,"")</f>
        <v>103044</v>
      </c>
      <c r="K394" s="11" t="n">
        <f aca="false">IFERROR(D394/F394,"")</f>
        <v>1394.37077131258</v>
      </c>
    </row>
    <row r="395" customFormat="false" ht="15" hidden="false" customHeight="false" outlineLevel="0" collapsed="false">
      <c r="A395" s="8" t="n">
        <v>43977</v>
      </c>
      <c r="B395" s="9" t="s">
        <v>25</v>
      </c>
      <c r="C395" s="10" t="n">
        <v>67726.5</v>
      </c>
      <c r="D395" s="10" t="n">
        <v>5864989.5</v>
      </c>
      <c r="E395" s="9" t="n">
        <v>36</v>
      </c>
      <c r="F395" s="9" t="n">
        <v>4770</v>
      </c>
      <c r="G395" s="9" t="n">
        <v>4424</v>
      </c>
      <c r="H395" s="9" t="n">
        <f aca="false">WEEKNUM(A395,21)</f>
        <v>22</v>
      </c>
      <c r="I395" s="8" t="n">
        <f aca="false">A395-WEEKDAY(A395,3)</f>
        <v>43976</v>
      </c>
      <c r="J395" s="10" t="n">
        <f aca="false">IFERROR(D395/E395,"")</f>
        <v>162916.375</v>
      </c>
      <c r="K395" s="11" t="n">
        <f aca="false">IFERROR(D395/F395,"")</f>
        <v>1229.55754716981</v>
      </c>
    </row>
    <row r="396" customFormat="false" ht="15" hidden="false" customHeight="false" outlineLevel="0" collapsed="false">
      <c r="A396" s="8" t="n">
        <v>43977</v>
      </c>
      <c r="B396" s="9" t="s">
        <v>26</v>
      </c>
      <c r="C396" s="10" t="n">
        <v>79975.5</v>
      </c>
      <c r="D396" s="10" t="n">
        <v>6676459.5</v>
      </c>
      <c r="E396" s="9" t="n">
        <v>31</v>
      </c>
      <c r="F396" s="9" t="n">
        <v>5493</v>
      </c>
      <c r="G396" s="9" t="n">
        <v>5119</v>
      </c>
      <c r="H396" s="9" t="n">
        <f aca="false">WEEKNUM(A396,21)</f>
        <v>22</v>
      </c>
      <c r="I396" s="8" t="n">
        <f aca="false">A396-WEEKDAY(A396,3)</f>
        <v>43976</v>
      </c>
      <c r="J396" s="10" t="n">
        <f aca="false">IFERROR(D396/E396,"")</f>
        <v>215369.661290323</v>
      </c>
      <c r="K396" s="11" t="n">
        <f aca="false">IFERROR(D396/F396,"")</f>
        <v>1215.44866193337</v>
      </c>
    </row>
    <row r="397" customFormat="false" ht="15" hidden="false" customHeight="false" outlineLevel="0" collapsed="false">
      <c r="A397" s="8" t="n">
        <v>43977</v>
      </c>
      <c r="B397" s="9" t="s">
        <v>27</v>
      </c>
      <c r="C397" s="10" t="n">
        <v>40744.5</v>
      </c>
      <c r="D397" s="10" t="n">
        <v>3700311</v>
      </c>
      <c r="E397" s="9" t="n">
        <v>21</v>
      </c>
      <c r="F397" s="9" t="n">
        <v>2418</v>
      </c>
      <c r="G397" s="9" t="n">
        <v>2215</v>
      </c>
      <c r="H397" s="9" t="n">
        <f aca="false">WEEKNUM(A397,21)</f>
        <v>22</v>
      </c>
      <c r="I397" s="8" t="n">
        <f aca="false">A397-WEEKDAY(A397,3)</f>
        <v>43976</v>
      </c>
      <c r="J397" s="10" t="n">
        <f aca="false">IFERROR(D397/E397,"")</f>
        <v>176205.285714286</v>
      </c>
      <c r="K397" s="11" t="n">
        <f aca="false">IFERROR(D397/F397,"")</f>
        <v>1530.31885856079</v>
      </c>
    </row>
    <row r="398" customFormat="false" ht="15" hidden="false" customHeight="false" outlineLevel="0" collapsed="false">
      <c r="A398" s="8" t="n">
        <v>43977</v>
      </c>
      <c r="B398" s="9" t="s">
        <v>28</v>
      </c>
      <c r="C398" s="10" t="n">
        <v>33423</v>
      </c>
      <c r="D398" s="10" t="n">
        <v>2970330</v>
      </c>
      <c r="E398" s="9" t="n">
        <v>20</v>
      </c>
      <c r="F398" s="9" t="n">
        <v>2044</v>
      </c>
      <c r="G398" s="9" t="n">
        <v>1863</v>
      </c>
      <c r="H398" s="9" t="n">
        <f aca="false">WEEKNUM(A398,21)</f>
        <v>22</v>
      </c>
      <c r="I398" s="8" t="n">
        <f aca="false">A398-WEEKDAY(A398,3)</f>
        <v>43976</v>
      </c>
      <c r="J398" s="10" t="n">
        <f aca="false">IFERROR(D398/E398,"")</f>
        <v>148516.5</v>
      </c>
      <c r="K398" s="11" t="n">
        <f aca="false">IFERROR(D398/F398,"")</f>
        <v>1453.19471624266</v>
      </c>
    </row>
    <row r="399" customFormat="false" ht="15" hidden="false" customHeight="false" outlineLevel="0" collapsed="false">
      <c r="A399" s="8" t="n">
        <v>43977</v>
      </c>
      <c r="B399" s="9" t="s">
        <v>29</v>
      </c>
      <c r="C399" s="10" t="n">
        <v>27156</v>
      </c>
      <c r="D399" s="10" t="n">
        <v>2410803</v>
      </c>
      <c r="E399" s="9" t="n">
        <v>20</v>
      </c>
      <c r="F399" s="9" t="n">
        <v>1814</v>
      </c>
      <c r="G399" s="9" t="n">
        <v>1655</v>
      </c>
      <c r="H399" s="9" t="n">
        <f aca="false">WEEKNUM(A399,21)</f>
        <v>22</v>
      </c>
      <c r="I399" s="8" t="n">
        <f aca="false">A399-WEEKDAY(A399,3)</f>
        <v>43976</v>
      </c>
      <c r="J399" s="10" t="n">
        <f aca="false">IFERROR(D399/E399,"")</f>
        <v>120540.15</v>
      </c>
      <c r="K399" s="11" t="n">
        <f aca="false">IFERROR(D399/F399,"")</f>
        <v>1328.99834619625</v>
      </c>
    </row>
    <row r="400" customFormat="false" ht="15" hidden="false" customHeight="false" outlineLevel="0" collapsed="false">
      <c r="A400" s="8" t="n">
        <v>43977</v>
      </c>
      <c r="B400" s="9" t="s">
        <v>30</v>
      </c>
      <c r="C400" s="10" t="n">
        <v>232369.5</v>
      </c>
      <c r="D400" s="10" t="n">
        <v>23856345</v>
      </c>
      <c r="E400" s="9" t="n">
        <v>54</v>
      </c>
      <c r="F400" s="9" t="n">
        <v>14482</v>
      </c>
      <c r="G400" s="9" t="n">
        <v>13510</v>
      </c>
      <c r="H400" s="9" t="n">
        <f aca="false">WEEKNUM(A400,21)</f>
        <v>22</v>
      </c>
      <c r="I400" s="8" t="n">
        <f aca="false">A400-WEEKDAY(A400,3)</f>
        <v>43976</v>
      </c>
      <c r="J400" s="10" t="n">
        <f aca="false">IFERROR(D400/E400,"")</f>
        <v>441784.166666667</v>
      </c>
      <c r="K400" s="11" t="n">
        <f aca="false">IFERROR(D400/F400,"")</f>
        <v>1647.31010910095</v>
      </c>
    </row>
    <row r="401" customFormat="false" ht="15" hidden="false" customHeight="false" outlineLevel="0" collapsed="false">
      <c r="A401" s="8" t="n">
        <v>43977</v>
      </c>
      <c r="B401" s="9" t="s">
        <v>31</v>
      </c>
      <c r="C401" s="10" t="n">
        <v>244905</v>
      </c>
      <c r="D401" s="10" t="n">
        <v>25163431.5</v>
      </c>
      <c r="E401" s="9" t="n">
        <v>59</v>
      </c>
      <c r="F401" s="9" t="n">
        <v>15369</v>
      </c>
      <c r="G401" s="9" t="n">
        <v>14299</v>
      </c>
      <c r="H401" s="9" t="n">
        <f aca="false">WEEKNUM(A401,21)</f>
        <v>22</v>
      </c>
      <c r="I401" s="8" t="n">
        <f aca="false">A401-WEEKDAY(A401,3)</f>
        <v>43976</v>
      </c>
      <c r="J401" s="10" t="n">
        <f aca="false">IFERROR(D401/E401,"")</f>
        <v>426498.838983051</v>
      </c>
      <c r="K401" s="11" t="n">
        <f aca="false">IFERROR(D401/F401,"")</f>
        <v>1637.28489166504</v>
      </c>
    </row>
    <row r="402" customFormat="false" ht="15" hidden="false" customHeight="false" outlineLevel="0" collapsed="false">
      <c r="A402" s="8" t="n">
        <v>43977</v>
      </c>
      <c r="B402" s="9" t="s">
        <v>32</v>
      </c>
      <c r="C402" s="10" t="n">
        <v>31407</v>
      </c>
      <c r="D402" s="10" t="n">
        <v>2907411</v>
      </c>
      <c r="E402" s="9" t="n">
        <v>20</v>
      </c>
      <c r="F402" s="9" t="n">
        <v>2036</v>
      </c>
      <c r="G402" s="9" t="n">
        <v>1790</v>
      </c>
      <c r="H402" s="9" t="n">
        <f aca="false">WEEKNUM(A402,21)</f>
        <v>22</v>
      </c>
      <c r="I402" s="8" t="n">
        <f aca="false">A402-WEEKDAY(A402,3)</f>
        <v>43976</v>
      </c>
      <c r="J402" s="10" t="n">
        <f aca="false">IFERROR(D402/E402,"")</f>
        <v>145370.55</v>
      </c>
      <c r="K402" s="11" t="n">
        <f aca="false">IFERROR(D402/F402,"")</f>
        <v>1428.00147347741</v>
      </c>
    </row>
    <row r="403" customFormat="false" ht="15" hidden="false" customHeight="false" outlineLevel="0" collapsed="false">
      <c r="A403" s="8" t="n">
        <v>43977</v>
      </c>
      <c r="B403" s="9" t="s">
        <v>33</v>
      </c>
      <c r="C403" s="10" t="n">
        <v>14419.5</v>
      </c>
      <c r="D403" s="10" t="n">
        <v>1210456.5</v>
      </c>
      <c r="E403" s="9" t="n">
        <v>18</v>
      </c>
      <c r="F403" s="9" t="n">
        <v>914</v>
      </c>
      <c r="G403" s="9" t="n">
        <v>804</v>
      </c>
      <c r="H403" s="9" t="n">
        <f aca="false">WEEKNUM(A403,21)</f>
        <v>22</v>
      </c>
      <c r="I403" s="8" t="n">
        <f aca="false">A403-WEEKDAY(A403,3)</f>
        <v>43976</v>
      </c>
      <c r="J403" s="10" t="n">
        <f aca="false">IFERROR(D403/E403,"")</f>
        <v>67247.5833333333</v>
      </c>
      <c r="K403" s="11" t="n">
        <f aca="false">IFERROR(D403/F403,"")</f>
        <v>1324.35065645514</v>
      </c>
    </row>
    <row r="404" customFormat="false" ht="15" hidden="false" customHeight="false" outlineLevel="0" collapsed="false">
      <c r="A404" s="8" t="n">
        <v>43977</v>
      </c>
      <c r="B404" s="9" t="s">
        <v>34</v>
      </c>
      <c r="C404" s="10" t="n">
        <v>17391</v>
      </c>
      <c r="D404" s="10" t="n">
        <v>1489132.5</v>
      </c>
      <c r="E404" s="9" t="n">
        <v>17</v>
      </c>
      <c r="F404" s="9" t="n">
        <v>1140</v>
      </c>
      <c r="G404" s="9" t="n">
        <v>1016</v>
      </c>
      <c r="H404" s="9" t="n">
        <f aca="false">WEEKNUM(A404,21)</f>
        <v>22</v>
      </c>
      <c r="I404" s="8" t="n">
        <f aca="false">A404-WEEKDAY(A404,3)</f>
        <v>43976</v>
      </c>
      <c r="J404" s="10" t="n">
        <f aca="false">IFERROR(D404/E404,"")</f>
        <v>87596.0294117647</v>
      </c>
      <c r="K404" s="11" t="n">
        <f aca="false">IFERROR(D404/F404,"")</f>
        <v>1306.25657894737</v>
      </c>
    </row>
    <row r="405" customFormat="false" ht="15" hidden="false" customHeight="false" outlineLevel="0" collapsed="false">
      <c r="A405" s="8" t="n">
        <v>43977</v>
      </c>
      <c r="B405" s="9" t="s">
        <v>38</v>
      </c>
      <c r="C405" s="10" t="n">
        <v>12259.5</v>
      </c>
      <c r="D405" s="10" t="n">
        <v>1152054</v>
      </c>
      <c r="E405" s="9" t="n">
        <v>15</v>
      </c>
      <c r="F405" s="9" t="n">
        <v>812</v>
      </c>
      <c r="G405" s="9" t="n">
        <v>711</v>
      </c>
      <c r="H405" s="9" t="n">
        <f aca="false">WEEKNUM(A405,21)</f>
        <v>22</v>
      </c>
      <c r="I405" s="8" t="n">
        <f aca="false">A405-WEEKDAY(A405,3)</f>
        <v>43976</v>
      </c>
      <c r="J405" s="10" t="n">
        <f aca="false">IFERROR(D405/E405,"")</f>
        <v>76803.6</v>
      </c>
      <c r="K405" s="11" t="n">
        <f aca="false">IFERROR(D405/F405,"")</f>
        <v>1418.78571428571</v>
      </c>
    </row>
    <row r="406" customFormat="false" ht="15" hidden="false" customHeight="false" outlineLevel="0" collapsed="false">
      <c r="A406" s="8" t="n">
        <v>43977</v>
      </c>
      <c r="B406" s="9" t="s">
        <v>35</v>
      </c>
      <c r="C406" s="10" t="n">
        <v>369861</v>
      </c>
      <c r="D406" s="10" t="n">
        <v>38365960.5</v>
      </c>
      <c r="E406" s="9" t="n">
        <v>124</v>
      </c>
      <c r="F406" s="9" t="n">
        <v>21153</v>
      </c>
      <c r="G406" s="9" t="n">
        <v>19673</v>
      </c>
      <c r="H406" s="9" t="n">
        <f aca="false">WEEKNUM(A406,21)</f>
        <v>22</v>
      </c>
      <c r="I406" s="8" t="n">
        <f aca="false">A406-WEEKDAY(A406,3)</f>
        <v>43976</v>
      </c>
      <c r="J406" s="10" t="n">
        <f aca="false">IFERROR(D406/E406,"")</f>
        <v>309402.907258065</v>
      </c>
      <c r="K406" s="11" t="n">
        <f aca="false">IFERROR(D406/F406,"")</f>
        <v>1813.7361367182</v>
      </c>
    </row>
    <row r="407" customFormat="false" ht="15" hidden="false" customHeight="false" outlineLevel="0" collapsed="false">
      <c r="A407" s="8" t="n">
        <v>43977</v>
      </c>
      <c r="B407" s="9" t="s">
        <v>36</v>
      </c>
      <c r="C407" s="10" t="n">
        <v>276966</v>
      </c>
      <c r="D407" s="10" t="n">
        <v>27872617.89885</v>
      </c>
      <c r="E407" s="9" t="n">
        <v>129</v>
      </c>
      <c r="F407" s="9" t="n">
        <v>16459</v>
      </c>
      <c r="G407" s="9" t="n">
        <v>15355</v>
      </c>
      <c r="H407" s="9" t="n">
        <f aca="false">WEEKNUM(A407,21)</f>
        <v>22</v>
      </c>
      <c r="I407" s="8" t="n">
        <f aca="false">A407-WEEKDAY(A407,3)</f>
        <v>43976</v>
      </c>
      <c r="J407" s="10" t="n">
        <f aca="false">IFERROR(D407/E407,"")</f>
        <v>216066.805417442</v>
      </c>
      <c r="K407" s="11" t="n">
        <f aca="false">IFERROR(D407/F407,"")</f>
        <v>1693.45755506714</v>
      </c>
    </row>
    <row r="408" customFormat="false" ht="15" hidden="false" customHeight="false" outlineLevel="0" collapsed="false">
      <c r="A408" s="8" t="n">
        <v>43977</v>
      </c>
      <c r="B408" s="9" t="s">
        <v>37</v>
      </c>
      <c r="C408" s="10" t="n">
        <v>11835</v>
      </c>
      <c r="D408" s="10" t="n">
        <v>983109</v>
      </c>
      <c r="E408" s="9" t="n">
        <v>10</v>
      </c>
      <c r="F408" s="9" t="n">
        <v>692</v>
      </c>
      <c r="G408" s="9" t="n">
        <v>601</v>
      </c>
      <c r="H408" s="9" t="n">
        <f aca="false">WEEKNUM(A408,21)</f>
        <v>22</v>
      </c>
      <c r="I408" s="8" t="n">
        <f aca="false">A408-WEEKDAY(A408,3)</f>
        <v>43976</v>
      </c>
      <c r="J408" s="10" t="n">
        <f aca="false">IFERROR(D408/E408,"")</f>
        <v>98310.9</v>
      </c>
      <c r="K408" s="11" t="n">
        <f aca="false">IFERROR(D408/F408,"")</f>
        <v>1420.67774566474</v>
      </c>
    </row>
    <row r="409" customFormat="false" ht="15" hidden="false" customHeight="false" outlineLevel="0" collapsed="false">
      <c r="A409" s="8" t="n">
        <v>43977</v>
      </c>
      <c r="B409" s="9" t="s">
        <v>39</v>
      </c>
      <c r="C409" s="10" t="n">
        <v>10437</v>
      </c>
      <c r="D409" s="10" t="n">
        <v>833815.5</v>
      </c>
      <c r="E409" s="9" t="n">
        <v>7</v>
      </c>
      <c r="F409" s="9" t="n">
        <v>577</v>
      </c>
      <c r="G409" s="9" t="n">
        <v>389</v>
      </c>
      <c r="H409" s="9" t="n">
        <f aca="false">WEEKNUM(A409,21)</f>
        <v>22</v>
      </c>
      <c r="I409" s="8" t="n">
        <f aca="false">A409-WEEKDAY(A409,3)</f>
        <v>43976</v>
      </c>
      <c r="J409" s="10" t="n">
        <f aca="false">IFERROR(D409/E409,"")</f>
        <v>119116.5</v>
      </c>
      <c r="K409" s="11" t="n">
        <f aca="false">IFERROR(D409/F409,"")</f>
        <v>1445.08752166378</v>
      </c>
    </row>
    <row r="410" customFormat="false" ht="15" hidden="false" customHeight="false" outlineLevel="0" collapsed="false">
      <c r="A410" s="8" t="n">
        <v>43978</v>
      </c>
      <c r="B410" s="9" t="s">
        <v>25</v>
      </c>
      <c r="C410" s="10" t="n">
        <v>69010.5</v>
      </c>
      <c r="D410" s="10" t="n">
        <v>5985894</v>
      </c>
      <c r="E410" s="9" t="n">
        <v>36</v>
      </c>
      <c r="F410" s="9" t="n">
        <v>4951</v>
      </c>
      <c r="G410" s="9" t="n">
        <v>4584</v>
      </c>
      <c r="H410" s="9" t="n">
        <f aca="false">WEEKNUM(A410,21)</f>
        <v>22</v>
      </c>
      <c r="I410" s="8" t="n">
        <f aca="false">A410-WEEKDAY(A410,3)</f>
        <v>43976</v>
      </c>
      <c r="J410" s="10" t="n">
        <f aca="false">IFERROR(D410/E410,"")</f>
        <v>166274.833333333</v>
      </c>
      <c r="K410" s="11" t="n">
        <f aca="false">IFERROR(D410/F410,"")</f>
        <v>1209.02726721874</v>
      </c>
    </row>
    <row r="411" customFormat="false" ht="15" hidden="false" customHeight="false" outlineLevel="0" collapsed="false">
      <c r="A411" s="8" t="n">
        <v>43978</v>
      </c>
      <c r="B411" s="9" t="s">
        <v>26</v>
      </c>
      <c r="C411" s="10" t="n">
        <v>78544.5</v>
      </c>
      <c r="D411" s="10" t="n">
        <v>6701083.5</v>
      </c>
      <c r="E411" s="9" t="n">
        <v>31</v>
      </c>
      <c r="F411" s="9" t="n">
        <v>5330</v>
      </c>
      <c r="G411" s="9" t="n">
        <v>4977</v>
      </c>
      <c r="H411" s="9" t="n">
        <f aca="false">WEEKNUM(A411,21)</f>
        <v>22</v>
      </c>
      <c r="I411" s="8" t="n">
        <f aca="false">A411-WEEKDAY(A411,3)</f>
        <v>43976</v>
      </c>
      <c r="J411" s="10" t="n">
        <f aca="false">IFERROR(D411/E411,"")</f>
        <v>216163.983870968</v>
      </c>
      <c r="K411" s="11" t="n">
        <f aca="false">IFERROR(D411/F411,"")</f>
        <v>1257.23893058161</v>
      </c>
    </row>
    <row r="412" customFormat="false" ht="15" hidden="false" customHeight="false" outlineLevel="0" collapsed="false">
      <c r="A412" s="8" t="n">
        <v>43978</v>
      </c>
      <c r="B412" s="9" t="s">
        <v>27</v>
      </c>
      <c r="C412" s="10" t="n">
        <v>40420.5</v>
      </c>
      <c r="D412" s="10" t="n">
        <v>3780852</v>
      </c>
      <c r="E412" s="9" t="n">
        <v>21</v>
      </c>
      <c r="F412" s="9" t="n">
        <v>2430</v>
      </c>
      <c r="G412" s="9" t="n">
        <v>2216</v>
      </c>
      <c r="H412" s="9" t="n">
        <f aca="false">WEEKNUM(A412,21)</f>
        <v>22</v>
      </c>
      <c r="I412" s="8" t="n">
        <f aca="false">A412-WEEKDAY(A412,3)</f>
        <v>43976</v>
      </c>
      <c r="J412" s="10" t="n">
        <f aca="false">IFERROR(D412/E412,"")</f>
        <v>180040.571428571</v>
      </c>
      <c r="K412" s="11" t="n">
        <f aca="false">IFERROR(D412/F412,"")</f>
        <v>1555.90617283951</v>
      </c>
    </row>
    <row r="413" customFormat="false" ht="15" hidden="false" customHeight="false" outlineLevel="0" collapsed="false">
      <c r="A413" s="8" t="n">
        <v>43978</v>
      </c>
      <c r="B413" s="9" t="s">
        <v>28</v>
      </c>
      <c r="C413" s="10" t="n">
        <v>32817</v>
      </c>
      <c r="D413" s="10" t="n">
        <v>3015751.5</v>
      </c>
      <c r="E413" s="9" t="n">
        <v>20</v>
      </c>
      <c r="F413" s="9" t="n">
        <v>2079</v>
      </c>
      <c r="G413" s="9" t="n">
        <v>1893</v>
      </c>
      <c r="H413" s="9" t="n">
        <f aca="false">WEEKNUM(A413,21)</f>
        <v>22</v>
      </c>
      <c r="I413" s="8" t="n">
        <f aca="false">A413-WEEKDAY(A413,3)</f>
        <v>43976</v>
      </c>
      <c r="J413" s="10" t="n">
        <f aca="false">IFERROR(D413/E413,"")</f>
        <v>150787.575</v>
      </c>
      <c r="K413" s="11" t="n">
        <f aca="false">IFERROR(D413/F413,"")</f>
        <v>1450.57792207792</v>
      </c>
    </row>
    <row r="414" customFormat="false" ht="15" hidden="false" customHeight="false" outlineLevel="0" collapsed="false">
      <c r="A414" s="8" t="n">
        <v>43978</v>
      </c>
      <c r="B414" s="9" t="s">
        <v>29</v>
      </c>
      <c r="C414" s="10" t="n">
        <v>28050</v>
      </c>
      <c r="D414" s="10" t="n">
        <v>2458555.5</v>
      </c>
      <c r="E414" s="9" t="n">
        <v>20</v>
      </c>
      <c r="F414" s="9" t="n">
        <v>1873</v>
      </c>
      <c r="G414" s="9" t="n">
        <v>1715</v>
      </c>
      <c r="H414" s="9" t="n">
        <f aca="false">WEEKNUM(A414,21)</f>
        <v>22</v>
      </c>
      <c r="I414" s="8" t="n">
        <f aca="false">A414-WEEKDAY(A414,3)</f>
        <v>43976</v>
      </c>
      <c r="J414" s="10" t="n">
        <f aca="false">IFERROR(D414/E414,"")</f>
        <v>122927.775</v>
      </c>
      <c r="K414" s="11" t="n">
        <f aca="false">IFERROR(D414/F414,"")</f>
        <v>1312.62973838761</v>
      </c>
    </row>
    <row r="415" customFormat="false" ht="15" hidden="false" customHeight="false" outlineLevel="0" collapsed="false">
      <c r="A415" s="8" t="n">
        <v>43978</v>
      </c>
      <c r="B415" s="9" t="s">
        <v>30</v>
      </c>
      <c r="C415" s="10" t="n">
        <v>203532</v>
      </c>
      <c r="D415" s="10" t="n">
        <v>20953324.5</v>
      </c>
      <c r="E415" s="9" t="n">
        <v>54</v>
      </c>
      <c r="F415" s="9" t="n">
        <v>13091</v>
      </c>
      <c r="G415" s="9" t="n">
        <v>12216</v>
      </c>
      <c r="H415" s="9" t="n">
        <f aca="false">WEEKNUM(A415,21)</f>
        <v>22</v>
      </c>
      <c r="I415" s="8" t="n">
        <f aca="false">A415-WEEKDAY(A415,3)</f>
        <v>43976</v>
      </c>
      <c r="J415" s="10" t="n">
        <f aca="false">IFERROR(D415/E415,"")</f>
        <v>388024.527777778</v>
      </c>
      <c r="K415" s="11" t="n">
        <f aca="false">IFERROR(D415/F415,"")</f>
        <v>1600.59006187457</v>
      </c>
    </row>
    <row r="416" customFormat="false" ht="15" hidden="false" customHeight="false" outlineLevel="0" collapsed="false">
      <c r="A416" s="8" t="n">
        <v>43978</v>
      </c>
      <c r="B416" s="9" t="s">
        <v>31</v>
      </c>
      <c r="C416" s="10" t="n">
        <v>215592</v>
      </c>
      <c r="D416" s="10" t="n">
        <v>22342300.5</v>
      </c>
      <c r="E416" s="9" t="n">
        <v>59</v>
      </c>
      <c r="F416" s="9" t="n">
        <v>13942</v>
      </c>
      <c r="G416" s="9" t="n">
        <v>12986</v>
      </c>
      <c r="H416" s="9" t="n">
        <f aca="false">WEEKNUM(A416,21)</f>
        <v>22</v>
      </c>
      <c r="I416" s="8" t="n">
        <f aca="false">A416-WEEKDAY(A416,3)</f>
        <v>43976</v>
      </c>
      <c r="J416" s="10" t="n">
        <f aca="false">IFERROR(D416/E416,"")</f>
        <v>378683.059322034</v>
      </c>
      <c r="K416" s="11" t="n">
        <f aca="false">IFERROR(D416/F416,"")</f>
        <v>1602.51760866447</v>
      </c>
    </row>
    <row r="417" customFormat="false" ht="15" hidden="false" customHeight="false" outlineLevel="0" collapsed="false">
      <c r="A417" s="8" t="n">
        <v>43978</v>
      </c>
      <c r="B417" s="9" t="s">
        <v>32</v>
      </c>
      <c r="C417" s="10" t="n">
        <v>31257</v>
      </c>
      <c r="D417" s="10" t="n">
        <v>2924133</v>
      </c>
      <c r="E417" s="9" t="n">
        <v>20</v>
      </c>
      <c r="F417" s="9" t="n">
        <v>2079</v>
      </c>
      <c r="G417" s="9" t="n">
        <v>1856</v>
      </c>
      <c r="H417" s="9" t="n">
        <f aca="false">WEEKNUM(A417,21)</f>
        <v>22</v>
      </c>
      <c r="I417" s="8" t="n">
        <f aca="false">A417-WEEKDAY(A417,3)</f>
        <v>43976</v>
      </c>
      <c r="J417" s="10" t="n">
        <f aca="false">IFERROR(D417/E417,"")</f>
        <v>146206.65</v>
      </c>
      <c r="K417" s="11" t="n">
        <f aca="false">IFERROR(D417/F417,"")</f>
        <v>1406.50937950938</v>
      </c>
    </row>
    <row r="418" customFormat="false" ht="15" hidden="false" customHeight="false" outlineLevel="0" collapsed="false">
      <c r="A418" s="8" t="n">
        <v>43978</v>
      </c>
      <c r="B418" s="9" t="s">
        <v>33</v>
      </c>
      <c r="C418" s="10" t="n">
        <v>15276</v>
      </c>
      <c r="D418" s="10" t="n">
        <v>1350199.5</v>
      </c>
      <c r="E418" s="9" t="n">
        <v>18</v>
      </c>
      <c r="F418" s="9" t="n">
        <v>962</v>
      </c>
      <c r="G418" s="9" t="n">
        <v>859</v>
      </c>
      <c r="H418" s="9" t="n">
        <f aca="false">WEEKNUM(A418,21)</f>
        <v>22</v>
      </c>
      <c r="I418" s="8" t="n">
        <f aca="false">A418-WEEKDAY(A418,3)</f>
        <v>43976</v>
      </c>
      <c r="J418" s="10" t="n">
        <f aca="false">IFERROR(D418/E418,"")</f>
        <v>75011.0833333333</v>
      </c>
      <c r="K418" s="11" t="n">
        <f aca="false">IFERROR(D418/F418,"")</f>
        <v>1403.53378378378</v>
      </c>
    </row>
    <row r="419" customFormat="false" ht="15" hidden="false" customHeight="false" outlineLevel="0" collapsed="false">
      <c r="A419" s="8" t="n">
        <v>43978</v>
      </c>
      <c r="B419" s="9" t="s">
        <v>34</v>
      </c>
      <c r="C419" s="10" t="n">
        <v>18069</v>
      </c>
      <c r="D419" s="10" t="n">
        <v>1603084.5</v>
      </c>
      <c r="E419" s="9" t="n">
        <v>17</v>
      </c>
      <c r="F419" s="9" t="n">
        <v>1203</v>
      </c>
      <c r="G419" s="9" t="n">
        <v>1077</v>
      </c>
      <c r="H419" s="9" t="n">
        <f aca="false">WEEKNUM(A419,21)</f>
        <v>22</v>
      </c>
      <c r="I419" s="8" t="n">
        <f aca="false">A419-WEEKDAY(A419,3)</f>
        <v>43976</v>
      </c>
      <c r="J419" s="10" t="n">
        <f aca="false">IFERROR(D419/E419,"")</f>
        <v>94299.0882352941</v>
      </c>
      <c r="K419" s="11" t="n">
        <f aca="false">IFERROR(D419/F419,"")</f>
        <v>1332.572319202</v>
      </c>
    </row>
    <row r="420" customFormat="false" ht="15" hidden="false" customHeight="false" outlineLevel="0" collapsed="false">
      <c r="A420" s="8" t="n">
        <v>43978</v>
      </c>
      <c r="B420" s="9" t="s">
        <v>38</v>
      </c>
      <c r="C420" s="10" t="n">
        <v>13203</v>
      </c>
      <c r="D420" s="10" t="n">
        <v>1211457</v>
      </c>
      <c r="E420" s="9" t="n">
        <v>15</v>
      </c>
      <c r="F420" s="9" t="n">
        <v>809</v>
      </c>
      <c r="G420" s="9" t="n">
        <v>702</v>
      </c>
      <c r="H420" s="9" t="n">
        <f aca="false">WEEKNUM(A420,21)</f>
        <v>22</v>
      </c>
      <c r="I420" s="8" t="n">
        <f aca="false">A420-WEEKDAY(A420,3)</f>
        <v>43976</v>
      </c>
      <c r="J420" s="10" t="n">
        <f aca="false">IFERROR(D420/E420,"")</f>
        <v>80763.8</v>
      </c>
      <c r="K420" s="11" t="n">
        <f aca="false">IFERROR(D420/F420,"")</f>
        <v>1497.47466007417</v>
      </c>
    </row>
    <row r="421" customFormat="false" ht="15" hidden="false" customHeight="false" outlineLevel="0" collapsed="false">
      <c r="A421" s="8" t="n">
        <v>43978</v>
      </c>
      <c r="B421" s="9" t="s">
        <v>35</v>
      </c>
      <c r="C421" s="10" t="n">
        <v>370012.5</v>
      </c>
      <c r="D421" s="10" t="n">
        <v>39034861.5</v>
      </c>
      <c r="E421" s="9" t="n">
        <v>124</v>
      </c>
      <c r="F421" s="9" t="n">
        <v>21384</v>
      </c>
      <c r="G421" s="9" t="n">
        <v>19897</v>
      </c>
      <c r="H421" s="9" t="n">
        <f aca="false">WEEKNUM(A421,21)</f>
        <v>22</v>
      </c>
      <c r="I421" s="8" t="n">
        <f aca="false">A421-WEEKDAY(A421,3)</f>
        <v>43976</v>
      </c>
      <c r="J421" s="10" t="n">
        <f aca="false">IFERROR(D421/E421,"")</f>
        <v>314797.27016129</v>
      </c>
      <c r="K421" s="11" t="n">
        <f aca="false">IFERROR(D421/F421,"")</f>
        <v>1825.42375140292</v>
      </c>
    </row>
    <row r="422" customFormat="false" ht="15" hidden="false" customHeight="false" outlineLevel="0" collapsed="false">
      <c r="A422" s="8" t="n">
        <v>43978</v>
      </c>
      <c r="B422" s="9" t="s">
        <v>36</v>
      </c>
      <c r="C422" s="10" t="n">
        <v>286558.5</v>
      </c>
      <c r="D422" s="10" t="n">
        <v>29256993</v>
      </c>
      <c r="E422" s="9" t="n">
        <v>129</v>
      </c>
      <c r="F422" s="9" t="n">
        <v>17115</v>
      </c>
      <c r="G422" s="9" t="n">
        <v>15962</v>
      </c>
      <c r="H422" s="9" t="n">
        <f aca="false">WEEKNUM(A422,21)</f>
        <v>22</v>
      </c>
      <c r="I422" s="8" t="n">
        <f aca="false">A422-WEEKDAY(A422,3)</f>
        <v>43976</v>
      </c>
      <c r="J422" s="10" t="n">
        <f aca="false">IFERROR(D422/E422,"")</f>
        <v>226798.395348837</v>
      </c>
      <c r="K422" s="11" t="n">
        <f aca="false">IFERROR(D422/F422,"")</f>
        <v>1709.43575810692</v>
      </c>
    </row>
    <row r="423" customFormat="false" ht="15" hidden="false" customHeight="false" outlineLevel="0" collapsed="false">
      <c r="A423" s="8" t="n">
        <v>43978</v>
      </c>
      <c r="B423" s="9" t="s">
        <v>37</v>
      </c>
      <c r="C423" s="10" t="n">
        <v>12490.5</v>
      </c>
      <c r="D423" s="10" t="n">
        <v>1054798.5</v>
      </c>
      <c r="E423" s="9" t="n">
        <v>10</v>
      </c>
      <c r="F423" s="9" t="n">
        <v>757</v>
      </c>
      <c r="G423" s="9" t="n">
        <v>660</v>
      </c>
      <c r="H423" s="9" t="n">
        <f aca="false">WEEKNUM(A423,21)</f>
        <v>22</v>
      </c>
      <c r="I423" s="8" t="n">
        <f aca="false">A423-WEEKDAY(A423,3)</f>
        <v>43976</v>
      </c>
      <c r="J423" s="10" t="n">
        <f aca="false">IFERROR(D423/E423,"")</f>
        <v>105479.85</v>
      </c>
      <c r="K423" s="11" t="n">
        <f aca="false">IFERROR(D423/F423,"")</f>
        <v>1393.392998679</v>
      </c>
    </row>
    <row r="424" customFormat="false" ht="15" hidden="false" customHeight="false" outlineLevel="0" collapsed="false">
      <c r="A424" s="8" t="n">
        <v>43978</v>
      </c>
      <c r="B424" s="9" t="s">
        <v>39</v>
      </c>
      <c r="C424" s="10" t="n">
        <v>8362.5</v>
      </c>
      <c r="D424" s="10" t="n">
        <v>687684</v>
      </c>
      <c r="E424" s="9" t="n">
        <v>7</v>
      </c>
      <c r="F424" s="9" t="n">
        <v>409</v>
      </c>
      <c r="G424" s="9" t="n">
        <v>329</v>
      </c>
      <c r="H424" s="9" t="n">
        <f aca="false">WEEKNUM(A424,21)</f>
        <v>22</v>
      </c>
      <c r="I424" s="8" t="n">
        <f aca="false">A424-WEEKDAY(A424,3)</f>
        <v>43976</v>
      </c>
      <c r="J424" s="10" t="n">
        <f aca="false">IFERROR(D424/E424,"")</f>
        <v>98240.5714285714</v>
      </c>
      <c r="K424" s="11" t="n">
        <f aca="false">IFERROR(D424/F424,"")</f>
        <v>1681.37897310513</v>
      </c>
    </row>
    <row r="425" customFormat="false" ht="15" hidden="false" customHeight="false" outlineLevel="0" collapsed="false">
      <c r="A425" s="8" t="n">
        <v>43979</v>
      </c>
      <c r="B425" s="9" t="s">
        <v>25</v>
      </c>
      <c r="C425" s="10" t="n">
        <v>69945</v>
      </c>
      <c r="D425" s="10" t="n">
        <v>6101931</v>
      </c>
      <c r="E425" s="9" t="n">
        <v>37</v>
      </c>
      <c r="F425" s="9" t="n">
        <v>4840</v>
      </c>
      <c r="G425" s="9" t="n">
        <v>4475</v>
      </c>
      <c r="H425" s="9" t="n">
        <f aca="false">WEEKNUM(A425,21)</f>
        <v>22</v>
      </c>
      <c r="I425" s="8" t="n">
        <f aca="false">A425-WEEKDAY(A425,3)</f>
        <v>43976</v>
      </c>
      <c r="J425" s="10" t="n">
        <f aca="false">IFERROR(D425/E425,"")</f>
        <v>164917.054054054</v>
      </c>
      <c r="K425" s="11" t="n">
        <f aca="false">IFERROR(D425/F425,"")</f>
        <v>1260.72954545455</v>
      </c>
    </row>
    <row r="426" customFormat="false" ht="15" hidden="false" customHeight="false" outlineLevel="0" collapsed="false">
      <c r="A426" s="8" t="n">
        <v>43979</v>
      </c>
      <c r="B426" s="9" t="s">
        <v>26</v>
      </c>
      <c r="C426" s="10" t="n">
        <v>78141</v>
      </c>
      <c r="D426" s="10" t="n">
        <v>6641569.5</v>
      </c>
      <c r="E426" s="9" t="n">
        <v>31</v>
      </c>
      <c r="F426" s="9" t="n">
        <v>5355</v>
      </c>
      <c r="G426" s="9" t="n">
        <v>4969</v>
      </c>
      <c r="H426" s="9" t="n">
        <f aca="false">WEEKNUM(A426,21)</f>
        <v>22</v>
      </c>
      <c r="I426" s="8" t="n">
        <f aca="false">A426-WEEKDAY(A426,3)</f>
        <v>43976</v>
      </c>
      <c r="J426" s="10" t="n">
        <f aca="false">IFERROR(D426/E426,"")</f>
        <v>214244.177419355</v>
      </c>
      <c r="K426" s="11" t="n">
        <f aca="false">IFERROR(D426/F426,"")</f>
        <v>1240.25574229692</v>
      </c>
    </row>
    <row r="427" customFormat="false" ht="15" hidden="false" customHeight="false" outlineLevel="0" collapsed="false">
      <c r="A427" s="8" t="n">
        <v>43979</v>
      </c>
      <c r="B427" s="9" t="s">
        <v>27</v>
      </c>
      <c r="C427" s="10" t="n">
        <v>41442</v>
      </c>
      <c r="D427" s="10" t="n">
        <v>3893680.5</v>
      </c>
      <c r="E427" s="9" t="n">
        <v>22</v>
      </c>
      <c r="F427" s="9" t="n">
        <v>2454</v>
      </c>
      <c r="G427" s="9" t="n">
        <v>2239</v>
      </c>
      <c r="H427" s="9" t="n">
        <f aca="false">WEEKNUM(A427,21)</f>
        <v>22</v>
      </c>
      <c r="I427" s="8" t="n">
        <f aca="false">A427-WEEKDAY(A427,3)</f>
        <v>43976</v>
      </c>
      <c r="J427" s="10" t="n">
        <f aca="false">IFERROR(D427/E427,"")</f>
        <v>176985.477272727</v>
      </c>
      <c r="K427" s="11" t="n">
        <f aca="false">IFERROR(D427/F427,"")</f>
        <v>1586.66687041565</v>
      </c>
    </row>
    <row r="428" customFormat="false" ht="15" hidden="false" customHeight="false" outlineLevel="0" collapsed="false">
      <c r="A428" s="8" t="n">
        <v>43979</v>
      </c>
      <c r="B428" s="9" t="s">
        <v>28</v>
      </c>
      <c r="C428" s="10" t="n">
        <v>30982.5</v>
      </c>
      <c r="D428" s="10" t="n">
        <v>2827773</v>
      </c>
      <c r="E428" s="9" t="n">
        <v>20</v>
      </c>
      <c r="F428" s="9" t="n">
        <v>1886</v>
      </c>
      <c r="G428" s="9" t="n">
        <v>1736</v>
      </c>
      <c r="H428" s="9" t="n">
        <f aca="false">WEEKNUM(A428,21)</f>
        <v>22</v>
      </c>
      <c r="I428" s="8" t="n">
        <f aca="false">A428-WEEKDAY(A428,3)</f>
        <v>43976</v>
      </c>
      <c r="J428" s="10" t="n">
        <f aca="false">IFERROR(D428/E428,"")</f>
        <v>141388.65</v>
      </c>
      <c r="K428" s="11" t="n">
        <f aca="false">IFERROR(D428/F428,"")</f>
        <v>1499.34941675504</v>
      </c>
    </row>
    <row r="429" customFormat="false" ht="15" hidden="false" customHeight="false" outlineLevel="0" collapsed="false">
      <c r="A429" s="8" t="n">
        <v>43979</v>
      </c>
      <c r="B429" s="9" t="s">
        <v>29</v>
      </c>
      <c r="C429" s="10" t="n">
        <v>28197</v>
      </c>
      <c r="D429" s="10" t="n">
        <v>2559211.5</v>
      </c>
      <c r="E429" s="9" t="n">
        <v>20</v>
      </c>
      <c r="F429" s="9" t="n">
        <v>1875</v>
      </c>
      <c r="G429" s="9" t="n">
        <v>1701</v>
      </c>
      <c r="H429" s="9" t="n">
        <f aca="false">WEEKNUM(A429,21)</f>
        <v>22</v>
      </c>
      <c r="I429" s="8" t="n">
        <f aca="false">A429-WEEKDAY(A429,3)</f>
        <v>43976</v>
      </c>
      <c r="J429" s="10" t="n">
        <f aca="false">IFERROR(D429/E429,"")</f>
        <v>127960.575</v>
      </c>
      <c r="K429" s="11" t="n">
        <f aca="false">IFERROR(D429/F429,"")</f>
        <v>1364.9128</v>
      </c>
    </row>
    <row r="430" customFormat="false" ht="15" hidden="false" customHeight="false" outlineLevel="0" collapsed="false">
      <c r="A430" s="8" t="n">
        <v>43979</v>
      </c>
      <c r="B430" s="9" t="s">
        <v>30</v>
      </c>
      <c r="C430" s="10" t="n">
        <v>191641.5</v>
      </c>
      <c r="D430" s="10" t="n">
        <v>19549036.5</v>
      </c>
      <c r="E430" s="9" t="n">
        <v>54</v>
      </c>
      <c r="F430" s="9" t="n">
        <v>12409</v>
      </c>
      <c r="G430" s="9" t="n">
        <v>11582</v>
      </c>
      <c r="H430" s="9" t="n">
        <f aca="false">WEEKNUM(A430,21)</f>
        <v>22</v>
      </c>
      <c r="I430" s="8" t="n">
        <f aca="false">A430-WEEKDAY(A430,3)</f>
        <v>43976</v>
      </c>
      <c r="J430" s="10" t="n">
        <f aca="false">IFERROR(D430/E430,"")</f>
        <v>362019.194444444</v>
      </c>
      <c r="K430" s="11" t="n">
        <f aca="false">IFERROR(D430/F430,"")</f>
        <v>1575.39177210089</v>
      </c>
    </row>
    <row r="431" customFormat="false" ht="15" hidden="false" customHeight="false" outlineLevel="0" collapsed="false">
      <c r="A431" s="8" t="n">
        <v>43979</v>
      </c>
      <c r="B431" s="9" t="s">
        <v>31</v>
      </c>
      <c r="C431" s="10" t="n">
        <v>199753.5</v>
      </c>
      <c r="D431" s="10" t="n">
        <v>20535733.5</v>
      </c>
      <c r="E431" s="9" t="n">
        <v>60</v>
      </c>
      <c r="F431" s="9" t="n">
        <v>12854</v>
      </c>
      <c r="G431" s="9" t="n">
        <v>11954</v>
      </c>
      <c r="H431" s="9" t="n">
        <f aca="false">WEEKNUM(A431,21)</f>
        <v>22</v>
      </c>
      <c r="I431" s="8" t="n">
        <f aca="false">A431-WEEKDAY(A431,3)</f>
        <v>43976</v>
      </c>
      <c r="J431" s="10" t="n">
        <f aca="false">IFERROR(D431/E431,"")</f>
        <v>342262.225</v>
      </c>
      <c r="K431" s="11" t="n">
        <f aca="false">IFERROR(D431/F431,"")</f>
        <v>1597.61424459312</v>
      </c>
    </row>
    <row r="432" customFormat="false" ht="15" hidden="false" customHeight="false" outlineLevel="0" collapsed="false">
      <c r="A432" s="8" t="n">
        <v>43979</v>
      </c>
      <c r="B432" s="9" t="s">
        <v>32</v>
      </c>
      <c r="C432" s="10" t="n">
        <v>31974</v>
      </c>
      <c r="D432" s="10" t="n">
        <v>3004213.5</v>
      </c>
      <c r="E432" s="9" t="n">
        <v>20</v>
      </c>
      <c r="F432" s="9" t="n">
        <v>2088</v>
      </c>
      <c r="G432" s="9" t="n">
        <v>1848</v>
      </c>
      <c r="H432" s="9" t="n">
        <f aca="false">WEEKNUM(A432,21)</f>
        <v>22</v>
      </c>
      <c r="I432" s="8" t="n">
        <f aca="false">A432-WEEKDAY(A432,3)</f>
        <v>43976</v>
      </c>
      <c r="J432" s="10" t="n">
        <f aca="false">IFERROR(D432/E432,"")</f>
        <v>150210.675</v>
      </c>
      <c r="K432" s="11" t="n">
        <f aca="false">IFERROR(D432/F432,"")</f>
        <v>1438.79956896552</v>
      </c>
    </row>
    <row r="433" customFormat="false" ht="15" hidden="false" customHeight="false" outlineLevel="0" collapsed="false">
      <c r="A433" s="8" t="n">
        <v>43979</v>
      </c>
      <c r="B433" s="9" t="s">
        <v>33</v>
      </c>
      <c r="C433" s="10" t="n">
        <v>15678</v>
      </c>
      <c r="D433" s="10" t="n">
        <v>1387443</v>
      </c>
      <c r="E433" s="9" t="n">
        <v>18</v>
      </c>
      <c r="F433" s="9" t="n">
        <v>1020</v>
      </c>
      <c r="G433" s="9" t="n">
        <v>911</v>
      </c>
      <c r="H433" s="9" t="n">
        <f aca="false">WEEKNUM(A433,21)</f>
        <v>22</v>
      </c>
      <c r="I433" s="8" t="n">
        <f aca="false">A433-WEEKDAY(A433,3)</f>
        <v>43976</v>
      </c>
      <c r="J433" s="10" t="n">
        <f aca="false">IFERROR(D433/E433,"")</f>
        <v>77080.1666666667</v>
      </c>
      <c r="K433" s="11" t="n">
        <f aca="false">IFERROR(D433/F433,"")</f>
        <v>1360.23823529412</v>
      </c>
    </row>
    <row r="434" customFormat="false" ht="15" hidden="false" customHeight="false" outlineLevel="0" collapsed="false">
      <c r="A434" s="8" t="n">
        <v>43979</v>
      </c>
      <c r="B434" s="9" t="s">
        <v>34</v>
      </c>
      <c r="C434" s="10" t="n">
        <v>16500</v>
      </c>
      <c r="D434" s="10" t="n">
        <v>1487928</v>
      </c>
      <c r="E434" s="9" t="n">
        <v>17</v>
      </c>
      <c r="F434" s="9" t="n">
        <v>1097</v>
      </c>
      <c r="G434" s="9" t="n">
        <v>968</v>
      </c>
      <c r="H434" s="9" t="n">
        <f aca="false">WEEKNUM(A434,21)</f>
        <v>22</v>
      </c>
      <c r="I434" s="8" t="n">
        <f aca="false">A434-WEEKDAY(A434,3)</f>
        <v>43976</v>
      </c>
      <c r="J434" s="10" t="n">
        <f aca="false">IFERROR(D434/E434,"")</f>
        <v>87525.1764705882</v>
      </c>
      <c r="K434" s="11" t="n">
        <f aca="false">IFERROR(D434/F434,"")</f>
        <v>1356.36098450319</v>
      </c>
    </row>
    <row r="435" customFormat="false" ht="15" hidden="false" customHeight="false" outlineLevel="0" collapsed="false">
      <c r="A435" s="8" t="n">
        <v>43979</v>
      </c>
      <c r="B435" s="9" t="s">
        <v>38</v>
      </c>
      <c r="C435" s="10" t="n">
        <v>13864.5</v>
      </c>
      <c r="D435" s="10" t="n">
        <v>1239747</v>
      </c>
      <c r="E435" s="9" t="n">
        <v>16</v>
      </c>
      <c r="F435" s="9" t="n">
        <v>876</v>
      </c>
      <c r="G435" s="9" t="n">
        <v>762</v>
      </c>
      <c r="H435" s="9" t="n">
        <f aca="false">WEEKNUM(A435,21)</f>
        <v>22</v>
      </c>
      <c r="I435" s="8" t="n">
        <f aca="false">A435-WEEKDAY(A435,3)</f>
        <v>43976</v>
      </c>
      <c r="J435" s="10" t="n">
        <f aca="false">IFERROR(D435/E435,"")</f>
        <v>77484.1875</v>
      </c>
      <c r="K435" s="11" t="n">
        <f aca="false">IFERROR(D435/F435,"")</f>
        <v>1415.23630136986</v>
      </c>
    </row>
    <row r="436" customFormat="false" ht="15" hidden="false" customHeight="false" outlineLevel="0" collapsed="false">
      <c r="A436" s="8" t="n">
        <v>43979</v>
      </c>
      <c r="B436" s="9" t="s">
        <v>40</v>
      </c>
      <c r="C436" s="10" t="n">
        <v>8536.5</v>
      </c>
      <c r="D436" s="10" t="n">
        <v>643944</v>
      </c>
      <c r="E436" s="9" t="n">
        <v>15</v>
      </c>
      <c r="F436" s="9" t="n">
        <v>464</v>
      </c>
      <c r="G436" s="9" t="n">
        <v>390</v>
      </c>
      <c r="H436" s="9" t="n">
        <f aca="false">WEEKNUM(A436,21)</f>
        <v>22</v>
      </c>
      <c r="I436" s="8" t="n">
        <f aca="false">A436-WEEKDAY(A436,3)</f>
        <v>43976</v>
      </c>
      <c r="J436" s="10" t="n">
        <f aca="false">IFERROR(D436/E436,"")</f>
        <v>42929.6</v>
      </c>
      <c r="K436" s="11" t="n">
        <f aca="false">IFERROR(D436/F436,"")</f>
        <v>1387.81034482759</v>
      </c>
    </row>
    <row r="437" customFormat="false" ht="15" hidden="false" customHeight="false" outlineLevel="0" collapsed="false">
      <c r="A437" s="8" t="n">
        <v>43979</v>
      </c>
      <c r="B437" s="9" t="s">
        <v>35</v>
      </c>
      <c r="C437" s="10" t="n">
        <v>364638</v>
      </c>
      <c r="D437" s="10" t="n">
        <v>37947688.5</v>
      </c>
      <c r="E437" s="9" t="n">
        <v>124</v>
      </c>
      <c r="F437" s="9" t="n">
        <v>20868</v>
      </c>
      <c r="G437" s="9" t="n">
        <v>19342</v>
      </c>
      <c r="H437" s="9" t="n">
        <f aca="false">WEEKNUM(A437,21)</f>
        <v>22</v>
      </c>
      <c r="I437" s="8" t="n">
        <f aca="false">A437-WEEKDAY(A437,3)</f>
        <v>43976</v>
      </c>
      <c r="J437" s="10" t="n">
        <f aca="false">IFERROR(D437/E437,"")</f>
        <v>306029.745967742</v>
      </c>
      <c r="K437" s="11" t="n">
        <f aca="false">IFERROR(D437/F437,"")</f>
        <v>1818.4631253594</v>
      </c>
    </row>
    <row r="438" customFormat="false" ht="15" hidden="false" customHeight="false" outlineLevel="0" collapsed="false">
      <c r="A438" s="8" t="n">
        <v>43979</v>
      </c>
      <c r="B438" s="9" t="s">
        <v>36</v>
      </c>
      <c r="C438" s="10" t="n">
        <v>278491.5</v>
      </c>
      <c r="D438" s="10" t="n">
        <v>28151004.75</v>
      </c>
      <c r="E438" s="9" t="n">
        <v>129</v>
      </c>
      <c r="F438" s="9" t="n">
        <v>16453</v>
      </c>
      <c r="G438" s="9" t="n">
        <v>15289</v>
      </c>
      <c r="H438" s="9" t="n">
        <f aca="false">WEEKNUM(A438,21)</f>
        <v>22</v>
      </c>
      <c r="I438" s="8" t="n">
        <f aca="false">A438-WEEKDAY(A438,3)</f>
        <v>43976</v>
      </c>
      <c r="J438" s="10" t="n">
        <f aca="false">IFERROR(D438/E438,"")</f>
        <v>218224.843023256</v>
      </c>
      <c r="K438" s="11" t="n">
        <f aca="false">IFERROR(D438/F438,"")</f>
        <v>1710.99524402844</v>
      </c>
    </row>
    <row r="439" customFormat="false" ht="15" hidden="false" customHeight="false" outlineLevel="0" collapsed="false">
      <c r="A439" s="8" t="n">
        <v>43979</v>
      </c>
      <c r="B439" s="9" t="s">
        <v>37</v>
      </c>
      <c r="C439" s="10" t="n">
        <v>13038</v>
      </c>
      <c r="D439" s="10" t="n">
        <v>1114552.5</v>
      </c>
      <c r="E439" s="9" t="n">
        <v>10</v>
      </c>
      <c r="F439" s="9" t="n">
        <v>791</v>
      </c>
      <c r="G439" s="9" t="n">
        <v>697</v>
      </c>
      <c r="H439" s="9" t="n">
        <f aca="false">WEEKNUM(A439,21)</f>
        <v>22</v>
      </c>
      <c r="I439" s="8" t="n">
        <f aca="false">A439-WEEKDAY(A439,3)</f>
        <v>43976</v>
      </c>
      <c r="J439" s="10" t="n">
        <f aca="false">IFERROR(D439/E439,"")</f>
        <v>111455.25</v>
      </c>
      <c r="K439" s="11" t="n">
        <f aca="false">IFERROR(D439/F439,"")</f>
        <v>1409.04235145386</v>
      </c>
    </row>
    <row r="440" customFormat="false" ht="15" hidden="false" customHeight="false" outlineLevel="0" collapsed="false">
      <c r="A440" s="8" t="n">
        <v>43979</v>
      </c>
      <c r="B440" s="9" t="s">
        <v>39</v>
      </c>
      <c r="C440" s="10" t="n">
        <v>8428.5</v>
      </c>
      <c r="D440" s="10" t="n">
        <v>694669.5</v>
      </c>
      <c r="E440" s="9" t="n">
        <v>7</v>
      </c>
      <c r="F440" s="9" t="n">
        <v>420</v>
      </c>
      <c r="G440" s="9" t="n">
        <v>347</v>
      </c>
      <c r="H440" s="9" t="n">
        <f aca="false">WEEKNUM(A440,21)</f>
        <v>22</v>
      </c>
      <c r="I440" s="8" t="n">
        <f aca="false">A440-WEEKDAY(A440,3)</f>
        <v>43976</v>
      </c>
      <c r="J440" s="10" t="n">
        <f aca="false">IFERROR(D440/E440,"")</f>
        <v>99238.5</v>
      </c>
      <c r="K440" s="11" t="n">
        <f aca="false">IFERROR(D440/F440,"")</f>
        <v>1653.975</v>
      </c>
    </row>
    <row r="441" customFormat="false" ht="15" hidden="false" customHeight="false" outlineLevel="0" collapsed="false">
      <c r="A441" s="8" t="n">
        <v>43980</v>
      </c>
      <c r="B441" s="9" t="s">
        <v>25</v>
      </c>
      <c r="C441" s="10" t="n">
        <v>84433.5</v>
      </c>
      <c r="D441" s="10" t="n">
        <v>7228395</v>
      </c>
      <c r="E441" s="9" t="n">
        <v>37</v>
      </c>
      <c r="F441" s="9" t="n">
        <v>5672</v>
      </c>
      <c r="G441" s="9" t="n">
        <v>5198</v>
      </c>
      <c r="H441" s="9" t="n">
        <f aca="false">WEEKNUM(A441,21)</f>
        <v>22</v>
      </c>
      <c r="I441" s="8" t="n">
        <f aca="false">A441-WEEKDAY(A441,3)</f>
        <v>43976</v>
      </c>
      <c r="J441" s="10" t="n">
        <f aca="false">IFERROR(D441/E441,"")</f>
        <v>195362.027027027</v>
      </c>
      <c r="K441" s="11" t="n">
        <f aca="false">IFERROR(D441/F441,"")</f>
        <v>1274.39968265162</v>
      </c>
    </row>
    <row r="442" customFormat="false" ht="15" hidden="false" customHeight="false" outlineLevel="0" collapsed="false">
      <c r="A442" s="8" t="n">
        <v>43980</v>
      </c>
      <c r="B442" s="9" t="s">
        <v>26</v>
      </c>
      <c r="C442" s="10" t="n">
        <v>87552</v>
      </c>
      <c r="D442" s="10" t="n">
        <v>7387116</v>
      </c>
      <c r="E442" s="9" t="n">
        <v>31</v>
      </c>
      <c r="F442" s="9" t="n">
        <v>5751</v>
      </c>
      <c r="G442" s="9" t="n">
        <v>5319</v>
      </c>
      <c r="H442" s="9" t="n">
        <f aca="false">WEEKNUM(A442,21)</f>
        <v>22</v>
      </c>
      <c r="I442" s="8" t="n">
        <f aca="false">A442-WEEKDAY(A442,3)</f>
        <v>43976</v>
      </c>
      <c r="J442" s="10" t="n">
        <f aca="false">IFERROR(D442/E442,"")</f>
        <v>238294.064516129</v>
      </c>
      <c r="K442" s="11" t="n">
        <f aca="false">IFERROR(D442/F442,"")</f>
        <v>1284.49243609807</v>
      </c>
    </row>
    <row r="443" customFormat="false" ht="15" hidden="false" customHeight="false" outlineLevel="0" collapsed="false">
      <c r="A443" s="8" t="n">
        <v>43980</v>
      </c>
      <c r="B443" s="9" t="s">
        <v>27</v>
      </c>
      <c r="C443" s="10" t="n">
        <v>44569.5</v>
      </c>
      <c r="D443" s="10" t="n">
        <v>4108596</v>
      </c>
      <c r="E443" s="9" t="n">
        <v>22</v>
      </c>
      <c r="F443" s="9" t="n">
        <v>2597</v>
      </c>
      <c r="G443" s="9" t="n">
        <v>2379</v>
      </c>
      <c r="H443" s="9" t="n">
        <f aca="false">WEEKNUM(A443,21)</f>
        <v>22</v>
      </c>
      <c r="I443" s="8" t="n">
        <f aca="false">A443-WEEKDAY(A443,3)</f>
        <v>43976</v>
      </c>
      <c r="J443" s="10" t="n">
        <f aca="false">IFERROR(D443/E443,"")</f>
        <v>186754.363636364</v>
      </c>
      <c r="K443" s="11" t="n">
        <f aca="false">IFERROR(D443/F443,"")</f>
        <v>1582.05467847516</v>
      </c>
    </row>
    <row r="444" customFormat="false" ht="15" hidden="false" customHeight="false" outlineLevel="0" collapsed="false">
      <c r="A444" s="8" t="n">
        <v>43980</v>
      </c>
      <c r="B444" s="9" t="s">
        <v>28</v>
      </c>
      <c r="C444" s="10" t="n">
        <v>35431.5</v>
      </c>
      <c r="D444" s="10" t="n">
        <v>3193167</v>
      </c>
      <c r="E444" s="9" t="n">
        <v>20</v>
      </c>
      <c r="F444" s="9" t="n">
        <v>2111</v>
      </c>
      <c r="G444" s="9" t="n">
        <v>1917</v>
      </c>
      <c r="H444" s="9" t="n">
        <f aca="false">WEEKNUM(A444,21)</f>
        <v>22</v>
      </c>
      <c r="I444" s="8" t="n">
        <f aca="false">A444-WEEKDAY(A444,3)</f>
        <v>43976</v>
      </c>
      <c r="J444" s="10" t="n">
        <f aca="false">IFERROR(D444/E444,"")</f>
        <v>159658.35</v>
      </c>
      <c r="K444" s="11" t="n">
        <f aca="false">IFERROR(D444/F444,"")</f>
        <v>1512.63240170535</v>
      </c>
    </row>
    <row r="445" customFormat="false" ht="15" hidden="false" customHeight="false" outlineLevel="0" collapsed="false">
      <c r="A445" s="8" t="n">
        <v>43980</v>
      </c>
      <c r="B445" s="9" t="s">
        <v>29</v>
      </c>
      <c r="C445" s="10" t="n">
        <v>32782.5</v>
      </c>
      <c r="D445" s="10" t="n">
        <v>2854741.5</v>
      </c>
      <c r="E445" s="9" t="n">
        <v>20</v>
      </c>
      <c r="F445" s="9" t="n">
        <v>2064</v>
      </c>
      <c r="G445" s="9" t="n">
        <v>1896</v>
      </c>
      <c r="H445" s="9" t="n">
        <f aca="false">WEEKNUM(A445,21)</f>
        <v>22</v>
      </c>
      <c r="I445" s="8" t="n">
        <f aca="false">A445-WEEKDAY(A445,3)</f>
        <v>43976</v>
      </c>
      <c r="J445" s="10" t="n">
        <f aca="false">IFERROR(D445/E445,"")</f>
        <v>142737.075</v>
      </c>
      <c r="K445" s="11" t="n">
        <f aca="false">IFERROR(D445/F445,"")</f>
        <v>1383.11119186047</v>
      </c>
    </row>
    <row r="446" customFormat="false" ht="15" hidden="false" customHeight="false" outlineLevel="0" collapsed="false">
      <c r="A446" s="8" t="n">
        <v>43980</v>
      </c>
      <c r="B446" s="9" t="s">
        <v>30</v>
      </c>
      <c r="C446" s="10" t="n">
        <v>226476</v>
      </c>
      <c r="D446" s="10" t="n">
        <v>22416151.5</v>
      </c>
      <c r="E446" s="9" t="n">
        <v>54</v>
      </c>
      <c r="F446" s="9" t="n">
        <v>14031</v>
      </c>
      <c r="G446" s="9" t="n">
        <v>12943</v>
      </c>
      <c r="H446" s="9" t="n">
        <f aca="false">WEEKNUM(A446,21)</f>
        <v>22</v>
      </c>
      <c r="I446" s="8" t="n">
        <f aca="false">A446-WEEKDAY(A446,3)</f>
        <v>43976</v>
      </c>
      <c r="J446" s="10" t="n">
        <f aca="false">IFERROR(D446/E446,"")</f>
        <v>415113.916666667</v>
      </c>
      <c r="K446" s="11" t="n">
        <f aca="false">IFERROR(D446/F446,"")</f>
        <v>1597.61610006414</v>
      </c>
    </row>
    <row r="447" customFormat="false" ht="15" hidden="false" customHeight="false" outlineLevel="0" collapsed="false">
      <c r="A447" s="8" t="n">
        <v>43980</v>
      </c>
      <c r="B447" s="9" t="s">
        <v>31</v>
      </c>
      <c r="C447" s="10" t="n">
        <v>232102.5</v>
      </c>
      <c r="D447" s="10" t="n">
        <v>23120443.5</v>
      </c>
      <c r="E447" s="9" t="n">
        <v>59</v>
      </c>
      <c r="F447" s="9" t="n">
        <v>14507</v>
      </c>
      <c r="G447" s="9" t="n">
        <v>13386</v>
      </c>
      <c r="H447" s="9" t="n">
        <f aca="false">WEEKNUM(A447,21)</f>
        <v>22</v>
      </c>
      <c r="I447" s="8" t="n">
        <f aca="false">A447-WEEKDAY(A447,3)</f>
        <v>43976</v>
      </c>
      <c r="J447" s="10" t="n">
        <f aca="false">IFERROR(D447/E447,"")</f>
        <v>391871.923728814</v>
      </c>
      <c r="K447" s="11" t="n">
        <f aca="false">IFERROR(D447/F447,"")</f>
        <v>1593.74395119597</v>
      </c>
    </row>
    <row r="448" customFormat="false" ht="15" hidden="false" customHeight="false" outlineLevel="0" collapsed="false">
      <c r="A448" s="8" t="n">
        <v>43980</v>
      </c>
      <c r="B448" s="9" t="s">
        <v>32</v>
      </c>
      <c r="C448" s="10" t="n">
        <v>35346</v>
      </c>
      <c r="D448" s="10" t="n">
        <v>3258054</v>
      </c>
      <c r="E448" s="9" t="n">
        <v>20</v>
      </c>
      <c r="F448" s="9" t="n">
        <v>2249</v>
      </c>
      <c r="G448" s="9" t="n">
        <v>2000</v>
      </c>
      <c r="H448" s="9" t="n">
        <f aca="false">WEEKNUM(A448,21)</f>
        <v>22</v>
      </c>
      <c r="I448" s="8" t="n">
        <f aca="false">A448-WEEKDAY(A448,3)</f>
        <v>43976</v>
      </c>
      <c r="J448" s="10" t="n">
        <f aca="false">IFERROR(D448/E448,"")</f>
        <v>162902.7</v>
      </c>
      <c r="K448" s="11" t="n">
        <f aca="false">IFERROR(D448/F448,"")</f>
        <v>1448.66785237884</v>
      </c>
    </row>
    <row r="449" customFormat="false" ht="15" hidden="false" customHeight="false" outlineLevel="0" collapsed="false">
      <c r="A449" s="8" t="n">
        <v>43980</v>
      </c>
      <c r="B449" s="9" t="s">
        <v>33</v>
      </c>
      <c r="C449" s="10" t="n">
        <v>16878</v>
      </c>
      <c r="D449" s="10" t="n">
        <v>1438255.5</v>
      </c>
      <c r="E449" s="9" t="n">
        <v>18</v>
      </c>
      <c r="F449" s="9" t="n">
        <v>1014</v>
      </c>
      <c r="G449" s="9" t="n">
        <v>893</v>
      </c>
      <c r="H449" s="9" t="n">
        <f aca="false">WEEKNUM(A449,21)</f>
        <v>22</v>
      </c>
      <c r="I449" s="8" t="n">
        <f aca="false">A449-WEEKDAY(A449,3)</f>
        <v>43976</v>
      </c>
      <c r="J449" s="10" t="n">
        <f aca="false">IFERROR(D449/E449,"")</f>
        <v>79903.0833333333</v>
      </c>
      <c r="K449" s="11" t="n">
        <f aca="false">IFERROR(D449/F449,"")</f>
        <v>1418.39792899408</v>
      </c>
    </row>
    <row r="450" customFormat="false" ht="15" hidden="false" customHeight="false" outlineLevel="0" collapsed="false">
      <c r="A450" s="8" t="n">
        <v>43980</v>
      </c>
      <c r="B450" s="9" t="s">
        <v>34</v>
      </c>
      <c r="C450" s="10" t="n">
        <v>19647</v>
      </c>
      <c r="D450" s="10" t="n">
        <v>1764669</v>
      </c>
      <c r="E450" s="9" t="n">
        <v>17</v>
      </c>
      <c r="F450" s="9" t="n">
        <v>1296</v>
      </c>
      <c r="G450" s="9" t="n">
        <v>1153</v>
      </c>
      <c r="H450" s="9" t="n">
        <f aca="false">WEEKNUM(A450,21)</f>
        <v>22</v>
      </c>
      <c r="I450" s="8" t="n">
        <f aca="false">A450-WEEKDAY(A450,3)</f>
        <v>43976</v>
      </c>
      <c r="J450" s="10" t="n">
        <f aca="false">IFERROR(D450/E450,"")</f>
        <v>103804.058823529</v>
      </c>
      <c r="K450" s="11" t="n">
        <f aca="false">IFERROR(D450/F450,"")</f>
        <v>1361.62731481481</v>
      </c>
    </row>
    <row r="451" customFormat="false" ht="15" hidden="false" customHeight="false" outlineLevel="0" collapsed="false">
      <c r="A451" s="8" t="n">
        <v>43980</v>
      </c>
      <c r="B451" s="9" t="s">
        <v>38</v>
      </c>
      <c r="C451" s="10" t="n">
        <v>17052</v>
      </c>
      <c r="D451" s="10" t="n">
        <v>1549020</v>
      </c>
      <c r="E451" s="9" t="n">
        <v>16</v>
      </c>
      <c r="F451" s="9" t="n">
        <v>981</v>
      </c>
      <c r="G451" s="9" t="n">
        <v>859</v>
      </c>
      <c r="H451" s="9" t="n">
        <f aca="false">WEEKNUM(A451,21)</f>
        <v>22</v>
      </c>
      <c r="I451" s="8" t="n">
        <f aca="false">A451-WEEKDAY(A451,3)</f>
        <v>43976</v>
      </c>
      <c r="J451" s="10" t="n">
        <f aca="false">IFERROR(D451/E451,"")</f>
        <v>96813.75</v>
      </c>
      <c r="K451" s="11" t="n">
        <f aca="false">IFERROR(D451/F451,"")</f>
        <v>1579.02140672783</v>
      </c>
    </row>
    <row r="452" customFormat="false" ht="15" hidden="false" customHeight="false" outlineLevel="0" collapsed="false">
      <c r="A452" s="8" t="n">
        <v>43980</v>
      </c>
      <c r="B452" s="9" t="s">
        <v>40</v>
      </c>
      <c r="C452" s="10" t="n">
        <v>8350.5</v>
      </c>
      <c r="D452" s="10" t="n">
        <v>651237</v>
      </c>
      <c r="E452" s="9" t="n">
        <v>15</v>
      </c>
      <c r="F452" s="9" t="n">
        <v>400</v>
      </c>
      <c r="G452" s="9" t="n">
        <v>329</v>
      </c>
      <c r="H452" s="9" t="n">
        <f aca="false">WEEKNUM(A452,21)</f>
        <v>22</v>
      </c>
      <c r="I452" s="8" t="n">
        <f aca="false">A452-WEEKDAY(A452,3)</f>
        <v>43976</v>
      </c>
      <c r="J452" s="10" t="n">
        <f aca="false">IFERROR(D452/E452,"")</f>
        <v>43415.8</v>
      </c>
      <c r="K452" s="11" t="n">
        <f aca="false">IFERROR(D452/F452,"")</f>
        <v>1628.0925</v>
      </c>
    </row>
    <row r="453" customFormat="false" ht="15" hidden="false" customHeight="false" outlineLevel="0" collapsed="false">
      <c r="A453" s="8" t="n">
        <v>43980</v>
      </c>
      <c r="B453" s="9" t="s">
        <v>35</v>
      </c>
      <c r="C453" s="10" t="n">
        <v>524481</v>
      </c>
      <c r="D453" s="10" t="n">
        <v>54172029</v>
      </c>
      <c r="E453" s="9" t="n">
        <v>124</v>
      </c>
      <c r="F453" s="9" t="n">
        <v>25828</v>
      </c>
      <c r="G453" s="9" t="n">
        <v>23974</v>
      </c>
      <c r="H453" s="9" t="n">
        <f aca="false">WEEKNUM(A453,21)</f>
        <v>22</v>
      </c>
      <c r="I453" s="8" t="n">
        <f aca="false">A453-WEEKDAY(A453,3)</f>
        <v>43976</v>
      </c>
      <c r="J453" s="10" t="n">
        <f aca="false">IFERROR(D453/E453,"")</f>
        <v>436871.201612903</v>
      </c>
      <c r="K453" s="11" t="n">
        <f aca="false">IFERROR(D453/F453,"")</f>
        <v>2097.41478240669</v>
      </c>
    </row>
    <row r="454" customFormat="false" ht="15" hidden="false" customHeight="false" outlineLevel="0" collapsed="false">
      <c r="A454" s="8" t="n">
        <v>43980</v>
      </c>
      <c r="B454" s="9" t="s">
        <v>36</v>
      </c>
      <c r="C454" s="10" t="n">
        <v>422965.5</v>
      </c>
      <c r="D454" s="10" t="n">
        <v>41767140.105</v>
      </c>
      <c r="E454" s="9" t="n">
        <v>129</v>
      </c>
      <c r="F454" s="9" t="n">
        <v>22403</v>
      </c>
      <c r="G454" s="9" t="n">
        <v>20676</v>
      </c>
      <c r="H454" s="9" t="n">
        <f aca="false">WEEKNUM(A454,21)</f>
        <v>22</v>
      </c>
      <c r="I454" s="8" t="n">
        <f aca="false">A454-WEEKDAY(A454,3)</f>
        <v>43976</v>
      </c>
      <c r="J454" s="10" t="n">
        <f aca="false">IFERROR(D454/E454,"")</f>
        <v>323776.279883721</v>
      </c>
      <c r="K454" s="11" t="n">
        <f aca="false">IFERROR(D454/F454,"")</f>
        <v>1864.35477860108</v>
      </c>
    </row>
    <row r="455" customFormat="false" ht="15" hidden="false" customHeight="false" outlineLevel="0" collapsed="false">
      <c r="A455" s="8" t="n">
        <v>43980</v>
      </c>
      <c r="B455" s="9" t="s">
        <v>37</v>
      </c>
      <c r="C455" s="10" t="n">
        <v>14823</v>
      </c>
      <c r="D455" s="10" t="n">
        <v>1273464</v>
      </c>
      <c r="E455" s="9" t="n">
        <v>10</v>
      </c>
      <c r="F455" s="9" t="n">
        <v>873</v>
      </c>
      <c r="G455" s="9" t="n">
        <v>770</v>
      </c>
      <c r="H455" s="9" t="n">
        <f aca="false">WEEKNUM(A455,21)</f>
        <v>22</v>
      </c>
      <c r="I455" s="8" t="n">
        <f aca="false">A455-WEEKDAY(A455,3)</f>
        <v>43976</v>
      </c>
      <c r="J455" s="10" t="n">
        <f aca="false">IFERROR(D455/E455,"")</f>
        <v>127346.4</v>
      </c>
      <c r="K455" s="11" t="n">
        <f aca="false">IFERROR(D455/F455,"")</f>
        <v>1458.72164948454</v>
      </c>
    </row>
    <row r="456" customFormat="false" ht="15" hidden="false" customHeight="false" outlineLevel="0" collapsed="false">
      <c r="A456" s="8" t="n">
        <v>43980</v>
      </c>
      <c r="B456" s="9" t="s">
        <v>39</v>
      </c>
      <c r="C456" s="10" t="n">
        <v>9927</v>
      </c>
      <c r="D456" s="10" t="n">
        <v>850840.5</v>
      </c>
      <c r="E456" s="9" t="n">
        <v>7</v>
      </c>
      <c r="F456" s="9" t="n">
        <v>491</v>
      </c>
      <c r="G456" s="9" t="n">
        <v>411</v>
      </c>
      <c r="H456" s="9" t="n">
        <f aca="false">WEEKNUM(A456,21)</f>
        <v>22</v>
      </c>
      <c r="I456" s="8" t="n">
        <f aca="false">A456-WEEKDAY(A456,3)</f>
        <v>43976</v>
      </c>
      <c r="J456" s="10" t="n">
        <f aca="false">IFERROR(D456/E456,"")</f>
        <v>121548.642857143</v>
      </c>
      <c r="K456" s="11" t="n">
        <f aca="false">IFERROR(D456/F456,"")</f>
        <v>1732.87270875764</v>
      </c>
    </row>
    <row r="457" customFormat="false" ht="15" hidden="false" customHeight="false" outlineLevel="0" collapsed="false">
      <c r="A457" s="8" t="n">
        <v>43981</v>
      </c>
      <c r="B457" s="9" t="s">
        <v>25</v>
      </c>
      <c r="C457" s="10" t="n">
        <v>106926</v>
      </c>
      <c r="D457" s="10" t="n">
        <v>9098386.5</v>
      </c>
      <c r="E457" s="9" t="n">
        <v>37</v>
      </c>
      <c r="F457" s="9" t="n">
        <v>6645</v>
      </c>
      <c r="G457" s="9" t="n">
        <v>6122</v>
      </c>
      <c r="H457" s="9" t="n">
        <f aca="false">WEEKNUM(A457,21)</f>
        <v>22</v>
      </c>
      <c r="I457" s="8" t="n">
        <f aca="false">A457-WEEKDAY(A457,3)</f>
        <v>43976</v>
      </c>
      <c r="J457" s="10" t="n">
        <f aca="false">IFERROR(D457/E457,"")</f>
        <v>245902.337837838</v>
      </c>
      <c r="K457" s="11" t="n">
        <f aca="false">IFERROR(D457/F457,"")</f>
        <v>1369.2079006772</v>
      </c>
    </row>
    <row r="458" customFormat="false" ht="15" hidden="false" customHeight="false" outlineLevel="0" collapsed="false">
      <c r="A458" s="8" t="n">
        <v>43981</v>
      </c>
      <c r="B458" s="9" t="s">
        <v>26</v>
      </c>
      <c r="C458" s="10" t="n">
        <v>108123</v>
      </c>
      <c r="D458" s="10" t="n">
        <v>9164707.5</v>
      </c>
      <c r="E458" s="9" t="n">
        <v>31</v>
      </c>
      <c r="F458" s="9" t="n">
        <v>6735</v>
      </c>
      <c r="G458" s="9" t="n">
        <v>6264</v>
      </c>
      <c r="H458" s="9" t="n">
        <f aca="false">WEEKNUM(A458,21)</f>
        <v>22</v>
      </c>
      <c r="I458" s="8" t="n">
        <f aca="false">A458-WEEKDAY(A458,3)</f>
        <v>43976</v>
      </c>
      <c r="J458" s="10" t="n">
        <f aca="false">IFERROR(D458/E458,"")</f>
        <v>295635.725806452</v>
      </c>
      <c r="K458" s="11" t="n">
        <f aca="false">IFERROR(D458/F458,"")</f>
        <v>1360.7583518931</v>
      </c>
    </row>
    <row r="459" customFormat="false" ht="15" hidden="false" customHeight="false" outlineLevel="0" collapsed="false">
      <c r="A459" s="8" t="n">
        <v>43981</v>
      </c>
      <c r="B459" s="9" t="s">
        <v>27</v>
      </c>
      <c r="C459" s="10" t="n">
        <v>48286.5</v>
      </c>
      <c r="D459" s="10" t="n">
        <v>4456441.5</v>
      </c>
      <c r="E459" s="9" t="n">
        <v>22</v>
      </c>
      <c r="F459" s="9" t="n">
        <v>2793</v>
      </c>
      <c r="G459" s="9" t="n">
        <v>2539</v>
      </c>
      <c r="H459" s="9" t="n">
        <f aca="false">WEEKNUM(A459,21)</f>
        <v>22</v>
      </c>
      <c r="I459" s="8" t="n">
        <f aca="false">A459-WEEKDAY(A459,3)</f>
        <v>43976</v>
      </c>
      <c r="J459" s="10" t="n">
        <f aca="false">IFERROR(D459/E459,"")</f>
        <v>202565.522727273</v>
      </c>
      <c r="K459" s="11" t="n">
        <f aca="false">IFERROR(D459/F459,"")</f>
        <v>1595.57518796992</v>
      </c>
    </row>
    <row r="460" customFormat="false" ht="15" hidden="false" customHeight="false" outlineLevel="0" collapsed="false">
      <c r="A460" s="8" t="n">
        <v>43981</v>
      </c>
      <c r="B460" s="9" t="s">
        <v>28</v>
      </c>
      <c r="C460" s="10" t="n">
        <v>44001</v>
      </c>
      <c r="D460" s="10" t="n">
        <v>3921784.5</v>
      </c>
      <c r="E460" s="9" t="n">
        <v>20</v>
      </c>
      <c r="F460" s="9" t="n">
        <v>2597</v>
      </c>
      <c r="G460" s="9" t="n">
        <v>2376</v>
      </c>
      <c r="H460" s="9" t="n">
        <f aca="false">WEEKNUM(A460,21)</f>
        <v>22</v>
      </c>
      <c r="I460" s="8" t="n">
        <f aca="false">A460-WEEKDAY(A460,3)</f>
        <v>43976</v>
      </c>
      <c r="J460" s="10" t="n">
        <f aca="false">IFERROR(D460/E460,"")</f>
        <v>196089.225</v>
      </c>
      <c r="K460" s="11" t="n">
        <f aca="false">IFERROR(D460/F460,"")</f>
        <v>1510.1211012707</v>
      </c>
    </row>
    <row r="461" customFormat="false" ht="15" hidden="false" customHeight="false" outlineLevel="0" collapsed="false">
      <c r="A461" s="8" t="n">
        <v>43981</v>
      </c>
      <c r="B461" s="9" t="s">
        <v>29</v>
      </c>
      <c r="C461" s="10" t="n">
        <v>34681.5</v>
      </c>
      <c r="D461" s="10" t="n">
        <v>3005334</v>
      </c>
      <c r="E461" s="9" t="n">
        <v>20</v>
      </c>
      <c r="F461" s="9" t="n">
        <v>2174</v>
      </c>
      <c r="G461" s="9" t="n">
        <v>1957</v>
      </c>
      <c r="H461" s="9" t="n">
        <f aca="false">WEEKNUM(A461,21)</f>
        <v>22</v>
      </c>
      <c r="I461" s="8" t="n">
        <f aca="false">A461-WEEKDAY(A461,3)</f>
        <v>43976</v>
      </c>
      <c r="J461" s="10" t="n">
        <f aca="false">IFERROR(D461/E461,"")</f>
        <v>150266.7</v>
      </c>
      <c r="K461" s="11" t="n">
        <f aca="false">IFERROR(D461/F461,"")</f>
        <v>1382.39834406624</v>
      </c>
    </row>
    <row r="462" customFormat="false" ht="15" hidden="false" customHeight="false" outlineLevel="0" collapsed="false">
      <c r="A462" s="8" t="n">
        <v>43981</v>
      </c>
      <c r="B462" s="9" t="s">
        <v>30</v>
      </c>
      <c r="C462" s="10" t="n">
        <v>244734</v>
      </c>
      <c r="D462" s="10" t="n">
        <v>24151980</v>
      </c>
      <c r="E462" s="9" t="n">
        <v>54</v>
      </c>
      <c r="F462" s="9" t="n">
        <v>14590</v>
      </c>
      <c r="G462" s="9" t="n">
        <v>13551</v>
      </c>
      <c r="H462" s="9" t="n">
        <f aca="false">WEEKNUM(A462,21)</f>
        <v>22</v>
      </c>
      <c r="I462" s="8" t="n">
        <f aca="false">A462-WEEKDAY(A462,3)</f>
        <v>43976</v>
      </c>
      <c r="J462" s="10" t="n">
        <f aca="false">IFERROR(D462/E462,"")</f>
        <v>447258.888888889</v>
      </c>
      <c r="K462" s="11" t="n">
        <f aca="false">IFERROR(D462/F462,"")</f>
        <v>1655.37902673064</v>
      </c>
    </row>
    <row r="463" customFormat="false" ht="15" hidden="false" customHeight="false" outlineLevel="0" collapsed="false">
      <c r="A463" s="8" t="n">
        <v>43981</v>
      </c>
      <c r="B463" s="9" t="s">
        <v>31</v>
      </c>
      <c r="C463" s="10" t="n">
        <v>246414</v>
      </c>
      <c r="D463" s="10" t="n">
        <v>24527245.5</v>
      </c>
      <c r="E463" s="9" t="n">
        <v>59</v>
      </c>
      <c r="F463" s="9" t="n">
        <v>15030</v>
      </c>
      <c r="G463" s="9" t="n">
        <v>13956</v>
      </c>
      <c r="H463" s="9" t="n">
        <f aca="false">WEEKNUM(A463,21)</f>
        <v>22</v>
      </c>
      <c r="I463" s="8" t="n">
        <f aca="false">A463-WEEKDAY(A463,3)</f>
        <v>43976</v>
      </c>
      <c r="J463" s="10" t="n">
        <f aca="false">IFERROR(D463/E463,"")</f>
        <v>415716.025423729</v>
      </c>
      <c r="K463" s="11" t="n">
        <f aca="false">IFERROR(D463/F463,"")</f>
        <v>1631.88592814371</v>
      </c>
    </row>
    <row r="464" customFormat="false" ht="15" hidden="false" customHeight="false" outlineLevel="0" collapsed="false">
      <c r="A464" s="8" t="n">
        <v>43981</v>
      </c>
      <c r="B464" s="9" t="s">
        <v>32</v>
      </c>
      <c r="C464" s="10" t="n">
        <v>39867</v>
      </c>
      <c r="D464" s="10" t="n">
        <v>3654166.5</v>
      </c>
      <c r="E464" s="9" t="n">
        <v>20</v>
      </c>
      <c r="F464" s="9" t="n">
        <v>2451</v>
      </c>
      <c r="G464" s="9" t="n">
        <v>2178</v>
      </c>
      <c r="H464" s="9" t="n">
        <f aca="false">WEEKNUM(A464,21)</f>
        <v>22</v>
      </c>
      <c r="I464" s="8" t="n">
        <f aca="false">A464-WEEKDAY(A464,3)</f>
        <v>43976</v>
      </c>
      <c r="J464" s="10" t="n">
        <f aca="false">IFERROR(D464/E464,"")</f>
        <v>182708.325</v>
      </c>
      <c r="K464" s="11" t="n">
        <f aca="false">IFERROR(D464/F464,"")</f>
        <v>1490.88800489596</v>
      </c>
    </row>
    <row r="465" customFormat="false" ht="15" hidden="false" customHeight="false" outlineLevel="0" collapsed="false">
      <c r="A465" s="8" t="n">
        <v>43981</v>
      </c>
      <c r="B465" s="9" t="s">
        <v>33</v>
      </c>
      <c r="C465" s="10" t="n">
        <v>20688</v>
      </c>
      <c r="D465" s="10" t="n">
        <v>1773154.5</v>
      </c>
      <c r="E465" s="9" t="n">
        <v>18</v>
      </c>
      <c r="F465" s="9" t="n">
        <v>1216</v>
      </c>
      <c r="G465" s="9" t="n">
        <v>1101</v>
      </c>
      <c r="H465" s="9" t="n">
        <f aca="false">WEEKNUM(A465,21)</f>
        <v>22</v>
      </c>
      <c r="I465" s="8" t="n">
        <f aca="false">A465-WEEKDAY(A465,3)</f>
        <v>43976</v>
      </c>
      <c r="J465" s="10" t="n">
        <f aca="false">IFERROR(D465/E465,"")</f>
        <v>98508.5833333333</v>
      </c>
      <c r="K465" s="11" t="n">
        <f aca="false">IFERROR(D465/F465,"")</f>
        <v>1458.18626644737</v>
      </c>
    </row>
    <row r="466" customFormat="false" ht="15" hidden="false" customHeight="false" outlineLevel="0" collapsed="false">
      <c r="A466" s="8" t="n">
        <v>43981</v>
      </c>
      <c r="B466" s="9" t="s">
        <v>34</v>
      </c>
      <c r="C466" s="10" t="n">
        <v>27250.5</v>
      </c>
      <c r="D466" s="10" t="n">
        <v>2457252</v>
      </c>
      <c r="E466" s="9" t="n">
        <v>17</v>
      </c>
      <c r="F466" s="9" t="n">
        <v>1697</v>
      </c>
      <c r="G466" s="9" t="n">
        <v>1499</v>
      </c>
      <c r="H466" s="9" t="n">
        <f aca="false">WEEKNUM(A466,21)</f>
        <v>22</v>
      </c>
      <c r="I466" s="8" t="n">
        <f aca="false">A466-WEEKDAY(A466,3)</f>
        <v>43976</v>
      </c>
      <c r="J466" s="10" t="n">
        <f aca="false">IFERROR(D466/E466,"")</f>
        <v>144544.235294118</v>
      </c>
      <c r="K466" s="11" t="n">
        <f aca="false">IFERROR(D466/F466,"")</f>
        <v>1447.99764289923</v>
      </c>
    </row>
    <row r="467" customFormat="false" ht="15" hidden="false" customHeight="false" outlineLevel="0" collapsed="false">
      <c r="A467" s="8" t="n">
        <v>43981</v>
      </c>
      <c r="B467" s="9" t="s">
        <v>38</v>
      </c>
      <c r="C467" s="10" t="n">
        <v>17946</v>
      </c>
      <c r="D467" s="10" t="n">
        <v>1609090.5</v>
      </c>
      <c r="E467" s="9" t="n">
        <v>16</v>
      </c>
      <c r="F467" s="9" t="n">
        <v>1048</v>
      </c>
      <c r="G467" s="9" t="n">
        <v>918</v>
      </c>
      <c r="H467" s="9" t="n">
        <f aca="false">WEEKNUM(A467,21)</f>
        <v>22</v>
      </c>
      <c r="I467" s="8" t="n">
        <f aca="false">A467-WEEKDAY(A467,3)</f>
        <v>43976</v>
      </c>
      <c r="J467" s="10" t="n">
        <f aca="false">IFERROR(D467/E467,"")</f>
        <v>100568.15625</v>
      </c>
      <c r="K467" s="11" t="n">
        <f aca="false">IFERROR(D467/F467,"")</f>
        <v>1535.39169847328</v>
      </c>
    </row>
    <row r="468" customFormat="false" ht="15" hidden="false" customHeight="false" outlineLevel="0" collapsed="false">
      <c r="A468" s="8" t="n">
        <v>43981</v>
      </c>
      <c r="B468" s="9" t="s">
        <v>40</v>
      </c>
      <c r="C468" s="10" t="n">
        <v>10029</v>
      </c>
      <c r="D468" s="10" t="n">
        <v>787101</v>
      </c>
      <c r="E468" s="9" t="n">
        <v>15</v>
      </c>
      <c r="F468" s="9" t="n">
        <v>490</v>
      </c>
      <c r="G468" s="9" t="n">
        <v>409</v>
      </c>
      <c r="H468" s="9" t="n">
        <f aca="false">WEEKNUM(A468,21)</f>
        <v>22</v>
      </c>
      <c r="I468" s="8" t="n">
        <f aca="false">A468-WEEKDAY(A468,3)</f>
        <v>43976</v>
      </c>
      <c r="J468" s="10" t="n">
        <f aca="false">IFERROR(D468/E468,"")</f>
        <v>52473.4</v>
      </c>
      <c r="K468" s="11" t="n">
        <f aca="false">IFERROR(D468/F468,"")</f>
        <v>1606.32857142857</v>
      </c>
    </row>
    <row r="469" customFormat="false" ht="15" hidden="false" customHeight="false" outlineLevel="0" collapsed="false">
      <c r="A469" s="8" t="n">
        <v>43981</v>
      </c>
      <c r="B469" s="9" t="s">
        <v>35</v>
      </c>
      <c r="C469" s="10" t="n">
        <v>453123</v>
      </c>
      <c r="D469" s="10" t="n">
        <v>46370904</v>
      </c>
      <c r="E469" s="9" t="n">
        <v>124</v>
      </c>
      <c r="F469" s="9" t="n">
        <v>24325</v>
      </c>
      <c r="G469" s="9" t="n">
        <v>22469</v>
      </c>
      <c r="H469" s="9" t="n">
        <f aca="false">WEEKNUM(A469,21)</f>
        <v>22</v>
      </c>
      <c r="I469" s="8" t="n">
        <f aca="false">A469-WEEKDAY(A469,3)</f>
        <v>43976</v>
      </c>
      <c r="J469" s="10" t="n">
        <f aca="false">IFERROR(D469/E469,"")</f>
        <v>373958.903225806</v>
      </c>
      <c r="K469" s="11" t="n">
        <f aca="false">IFERROR(D469/F469,"")</f>
        <v>1906.30643371017</v>
      </c>
    </row>
    <row r="470" customFormat="false" ht="15" hidden="false" customHeight="false" outlineLevel="0" collapsed="false">
      <c r="A470" s="8" t="n">
        <v>43981</v>
      </c>
      <c r="B470" s="9" t="s">
        <v>36</v>
      </c>
      <c r="C470" s="10" t="n">
        <v>364882.5</v>
      </c>
      <c r="D470" s="10" t="n">
        <v>35724493.5</v>
      </c>
      <c r="E470" s="9" t="n">
        <v>129</v>
      </c>
      <c r="F470" s="9" t="n">
        <v>20243</v>
      </c>
      <c r="G470" s="9" t="n">
        <v>18711</v>
      </c>
      <c r="H470" s="9" t="n">
        <f aca="false">WEEKNUM(A470,21)</f>
        <v>22</v>
      </c>
      <c r="I470" s="8" t="n">
        <f aca="false">A470-WEEKDAY(A470,3)</f>
        <v>43976</v>
      </c>
      <c r="J470" s="10" t="n">
        <f aca="false">IFERROR(D470/E470,"")</f>
        <v>276934.058139535</v>
      </c>
      <c r="K470" s="11" t="n">
        <f aca="false">IFERROR(D470/F470,"")</f>
        <v>1764.78256681322</v>
      </c>
    </row>
    <row r="471" customFormat="false" ht="15" hidden="false" customHeight="false" outlineLevel="0" collapsed="false">
      <c r="A471" s="8" t="n">
        <v>43981</v>
      </c>
      <c r="B471" s="9" t="s">
        <v>37</v>
      </c>
      <c r="C471" s="10" t="n">
        <v>14728.5</v>
      </c>
      <c r="D471" s="10" t="n">
        <v>1260483</v>
      </c>
      <c r="E471" s="9" t="n">
        <v>10</v>
      </c>
      <c r="F471" s="9" t="n">
        <v>865</v>
      </c>
      <c r="G471" s="9" t="n">
        <v>763</v>
      </c>
      <c r="H471" s="9" t="n">
        <f aca="false">WEEKNUM(A471,21)</f>
        <v>22</v>
      </c>
      <c r="I471" s="8" t="n">
        <f aca="false">A471-WEEKDAY(A471,3)</f>
        <v>43976</v>
      </c>
      <c r="J471" s="10" t="n">
        <f aca="false">IFERROR(D471/E471,"")</f>
        <v>126048.3</v>
      </c>
      <c r="K471" s="11" t="n">
        <f aca="false">IFERROR(D471/F471,"")</f>
        <v>1457.20578034682</v>
      </c>
    </row>
    <row r="472" customFormat="false" ht="15" hidden="false" customHeight="false" outlineLevel="0" collapsed="false">
      <c r="A472" s="8" t="n">
        <v>43981</v>
      </c>
      <c r="B472" s="9" t="s">
        <v>39</v>
      </c>
      <c r="C472" s="10" t="n">
        <v>11220</v>
      </c>
      <c r="D472" s="10" t="n">
        <v>928675.5</v>
      </c>
      <c r="E472" s="9" t="n">
        <v>7</v>
      </c>
      <c r="F472" s="9" t="n">
        <v>532</v>
      </c>
      <c r="G472" s="9" t="n">
        <v>449</v>
      </c>
      <c r="H472" s="9" t="n">
        <f aca="false">WEEKNUM(A472,21)</f>
        <v>22</v>
      </c>
      <c r="I472" s="8" t="n">
        <f aca="false">A472-WEEKDAY(A472,3)</f>
        <v>43976</v>
      </c>
      <c r="J472" s="10" t="n">
        <f aca="false">IFERROR(D472/E472,"")</f>
        <v>132667.928571429</v>
      </c>
      <c r="K472" s="11" t="n">
        <f aca="false">IFERROR(D472/F472,"")</f>
        <v>1745.63063909774</v>
      </c>
    </row>
    <row r="473" customFormat="false" ht="15" hidden="false" customHeight="false" outlineLevel="0" collapsed="false">
      <c r="A473" s="8" t="n">
        <v>43982</v>
      </c>
      <c r="B473" s="9" t="s">
        <v>25</v>
      </c>
      <c r="C473" s="10" t="n">
        <v>76234.5</v>
      </c>
      <c r="D473" s="10" t="n">
        <v>6500848.5</v>
      </c>
      <c r="E473" s="9" t="n">
        <v>37</v>
      </c>
      <c r="F473" s="9" t="n">
        <v>5215</v>
      </c>
      <c r="G473" s="9" t="n">
        <v>4848</v>
      </c>
      <c r="H473" s="9" t="n">
        <f aca="false">WEEKNUM(A473,21)</f>
        <v>22</v>
      </c>
      <c r="I473" s="8" t="n">
        <f aca="false">A473-WEEKDAY(A473,3)</f>
        <v>43976</v>
      </c>
      <c r="J473" s="10" t="n">
        <f aca="false">IFERROR(D473/E473,"")</f>
        <v>175698.608108108</v>
      </c>
      <c r="K473" s="11" t="n">
        <f aca="false">IFERROR(D473/F473,"")</f>
        <v>1246.56730584851</v>
      </c>
    </row>
    <row r="474" customFormat="false" ht="15" hidden="false" customHeight="false" outlineLevel="0" collapsed="false">
      <c r="A474" s="8" t="n">
        <v>43982</v>
      </c>
      <c r="B474" s="9" t="s">
        <v>26</v>
      </c>
      <c r="C474" s="10" t="n">
        <v>89149.5</v>
      </c>
      <c r="D474" s="10" t="n">
        <v>7512646.5</v>
      </c>
      <c r="E474" s="9" t="n">
        <v>31</v>
      </c>
      <c r="F474" s="9" t="n">
        <v>5760</v>
      </c>
      <c r="G474" s="9" t="n">
        <v>5367</v>
      </c>
      <c r="H474" s="9" t="n">
        <f aca="false">WEEKNUM(A474,21)</f>
        <v>22</v>
      </c>
      <c r="I474" s="8" t="n">
        <f aca="false">A474-WEEKDAY(A474,3)</f>
        <v>43976</v>
      </c>
      <c r="J474" s="10" t="n">
        <f aca="false">IFERROR(D474/E474,"")</f>
        <v>242343.435483871</v>
      </c>
      <c r="K474" s="11" t="n">
        <f aca="false">IFERROR(D474/F474,"")</f>
        <v>1304.27890625</v>
      </c>
    </row>
    <row r="475" customFormat="false" ht="15" hidden="false" customHeight="false" outlineLevel="0" collapsed="false">
      <c r="A475" s="8" t="n">
        <v>43982</v>
      </c>
      <c r="B475" s="9" t="s">
        <v>27</v>
      </c>
      <c r="C475" s="10" t="n">
        <v>42423</v>
      </c>
      <c r="D475" s="10" t="n">
        <v>3994153.5</v>
      </c>
      <c r="E475" s="9" t="n">
        <v>23</v>
      </c>
      <c r="F475" s="9" t="n">
        <v>2522</v>
      </c>
      <c r="G475" s="9" t="n">
        <v>2295</v>
      </c>
      <c r="H475" s="9" t="n">
        <f aca="false">WEEKNUM(A475,21)</f>
        <v>22</v>
      </c>
      <c r="I475" s="8" t="n">
        <f aca="false">A475-WEEKDAY(A475,3)</f>
        <v>43976</v>
      </c>
      <c r="J475" s="10" t="n">
        <f aca="false">IFERROR(D475/E475,"")</f>
        <v>173658.847826087</v>
      </c>
      <c r="K475" s="11" t="n">
        <f aca="false">IFERROR(D475/F475,"")</f>
        <v>1583.72462331483</v>
      </c>
    </row>
    <row r="476" customFormat="false" ht="15" hidden="false" customHeight="false" outlineLevel="0" collapsed="false">
      <c r="A476" s="8" t="n">
        <v>43982</v>
      </c>
      <c r="B476" s="9" t="s">
        <v>28</v>
      </c>
      <c r="C476" s="10" t="n">
        <v>36999</v>
      </c>
      <c r="D476" s="10" t="n">
        <v>3473895</v>
      </c>
      <c r="E476" s="9" t="n">
        <v>21</v>
      </c>
      <c r="F476" s="9" t="n">
        <v>2271</v>
      </c>
      <c r="G476" s="9" t="n">
        <v>2085</v>
      </c>
      <c r="H476" s="9" t="n">
        <f aca="false">WEEKNUM(A476,21)</f>
        <v>22</v>
      </c>
      <c r="I476" s="8" t="n">
        <f aca="false">A476-WEEKDAY(A476,3)</f>
        <v>43976</v>
      </c>
      <c r="J476" s="10" t="n">
        <f aca="false">IFERROR(D476/E476,"")</f>
        <v>165423.571428571</v>
      </c>
      <c r="K476" s="11" t="n">
        <f aca="false">IFERROR(D476/F476,"")</f>
        <v>1529.67635402906</v>
      </c>
    </row>
    <row r="477" customFormat="false" ht="15" hidden="false" customHeight="false" outlineLevel="0" collapsed="false">
      <c r="A477" s="8" t="n">
        <v>43982</v>
      </c>
      <c r="B477" s="9" t="s">
        <v>29</v>
      </c>
      <c r="C477" s="10" t="n">
        <v>31372.5</v>
      </c>
      <c r="D477" s="10" t="n">
        <v>2794324.5</v>
      </c>
      <c r="E477" s="9" t="n">
        <v>21</v>
      </c>
      <c r="F477" s="9" t="n">
        <v>2056</v>
      </c>
      <c r="G477" s="9" t="n">
        <v>1879</v>
      </c>
      <c r="H477" s="9" t="n">
        <f aca="false">WEEKNUM(A477,21)</f>
        <v>22</v>
      </c>
      <c r="I477" s="8" t="n">
        <f aca="false">A477-WEEKDAY(A477,3)</f>
        <v>43976</v>
      </c>
      <c r="J477" s="10" t="n">
        <f aca="false">IFERROR(D477/E477,"")</f>
        <v>133063.071428571</v>
      </c>
      <c r="K477" s="11" t="n">
        <f aca="false">IFERROR(D477/F477,"")</f>
        <v>1359.10724708171</v>
      </c>
    </row>
    <row r="478" customFormat="false" ht="15" hidden="false" customHeight="false" outlineLevel="0" collapsed="false">
      <c r="A478" s="8" t="n">
        <v>43982</v>
      </c>
      <c r="B478" s="9" t="s">
        <v>30</v>
      </c>
      <c r="C478" s="10" t="n">
        <v>206758.5</v>
      </c>
      <c r="D478" s="10" t="n">
        <v>20717248.5</v>
      </c>
      <c r="E478" s="9" t="n">
        <v>54</v>
      </c>
      <c r="F478" s="9" t="n">
        <v>13106</v>
      </c>
      <c r="G478" s="9" t="n">
        <v>12164</v>
      </c>
      <c r="H478" s="9" t="n">
        <f aca="false">WEEKNUM(A478,21)</f>
        <v>22</v>
      </c>
      <c r="I478" s="8" t="n">
        <f aca="false">A478-WEEKDAY(A478,3)</f>
        <v>43976</v>
      </c>
      <c r="J478" s="10" t="n">
        <f aca="false">IFERROR(D478/E478,"")</f>
        <v>383652.75</v>
      </c>
      <c r="K478" s="11" t="n">
        <f aca="false">IFERROR(D478/F478,"")</f>
        <v>1580.74534564322</v>
      </c>
    </row>
    <row r="479" customFormat="false" ht="15" hidden="false" customHeight="false" outlineLevel="0" collapsed="false">
      <c r="A479" s="8" t="n">
        <v>43982</v>
      </c>
      <c r="B479" s="9" t="s">
        <v>31</v>
      </c>
      <c r="C479" s="10" t="n">
        <v>215277</v>
      </c>
      <c r="D479" s="10" t="n">
        <v>21585316.5</v>
      </c>
      <c r="E479" s="9" t="n">
        <v>59</v>
      </c>
      <c r="F479" s="9" t="n">
        <v>13684</v>
      </c>
      <c r="G479" s="9" t="n">
        <v>12690</v>
      </c>
      <c r="H479" s="9" t="n">
        <f aca="false">WEEKNUM(A479,21)</f>
        <v>22</v>
      </c>
      <c r="I479" s="8" t="n">
        <f aca="false">A479-WEEKDAY(A479,3)</f>
        <v>43976</v>
      </c>
      <c r="J479" s="10" t="n">
        <f aca="false">IFERROR(D479/E479,"")</f>
        <v>365852.822033898</v>
      </c>
      <c r="K479" s="11" t="n">
        <f aca="false">IFERROR(D479/F479,"")</f>
        <v>1577.41278135048</v>
      </c>
    </row>
    <row r="480" customFormat="false" ht="15" hidden="false" customHeight="false" outlineLevel="0" collapsed="false">
      <c r="A480" s="8" t="n">
        <v>43982</v>
      </c>
      <c r="B480" s="9" t="s">
        <v>32</v>
      </c>
      <c r="C480" s="10" t="n">
        <v>32359.5</v>
      </c>
      <c r="D480" s="10" t="n">
        <v>2991999</v>
      </c>
      <c r="E480" s="9" t="n">
        <v>20</v>
      </c>
      <c r="F480" s="9" t="n">
        <v>2060</v>
      </c>
      <c r="G480" s="9" t="n">
        <v>1826</v>
      </c>
      <c r="H480" s="9" t="n">
        <f aca="false">WEEKNUM(A480,21)</f>
        <v>22</v>
      </c>
      <c r="I480" s="8" t="n">
        <f aca="false">A480-WEEKDAY(A480,3)</f>
        <v>43976</v>
      </c>
      <c r="J480" s="10" t="n">
        <f aca="false">IFERROR(D480/E480,"")</f>
        <v>149599.95</v>
      </c>
      <c r="K480" s="11" t="n">
        <f aca="false">IFERROR(D480/F480,"")</f>
        <v>1452.42669902913</v>
      </c>
    </row>
    <row r="481" customFormat="false" ht="15" hidden="false" customHeight="false" outlineLevel="0" collapsed="false">
      <c r="A481" s="8" t="n">
        <v>43982</v>
      </c>
      <c r="B481" s="9" t="s">
        <v>33</v>
      </c>
      <c r="C481" s="10" t="n">
        <v>16143</v>
      </c>
      <c r="D481" s="10" t="n">
        <v>1423410</v>
      </c>
      <c r="E481" s="9" t="n">
        <v>18</v>
      </c>
      <c r="F481" s="9" t="n">
        <v>1029</v>
      </c>
      <c r="G481" s="9" t="n">
        <v>925</v>
      </c>
      <c r="H481" s="9" t="n">
        <f aca="false">WEEKNUM(A481,21)</f>
        <v>22</v>
      </c>
      <c r="I481" s="8" t="n">
        <f aca="false">A481-WEEKDAY(A481,3)</f>
        <v>43976</v>
      </c>
      <c r="J481" s="10" t="n">
        <f aca="false">IFERROR(D481/E481,"")</f>
        <v>79078.3333333333</v>
      </c>
      <c r="K481" s="11" t="n">
        <f aca="false">IFERROR(D481/F481,"")</f>
        <v>1383.2944606414</v>
      </c>
    </row>
    <row r="482" customFormat="false" ht="15" hidden="false" customHeight="false" outlineLevel="0" collapsed="false">
      <c r="A482" s="8" t="n">
        <v>43982</v>
      </c>
      <c r="B482" s="9" t="s">
        <v>34</v>
      </c>
      <c r="C482" s="10" t="n">
        <v>17689.5</v>
      </c>
      <c r="D482" s="10" t="n">
        <v>1592119.5</v>
      </c>
      <c r="E482" s="9" t="n">
        <v>17</v>
      </c>
      <c r="F482" s="9" t="n">
        <v>1186</v>
      </c>
      <c r="G482" s="9" t="n">
        <v>1054</v>
      </c>
      <c r="H482" s="9" t="n">
        <f aca="false">WEEKNUM(A482,21)</f>
        <v>22</v>
      </c>
      <c r="I482" s="8" t="n">
        <f aca="false">A482-WEEKDAY(A482,3)</f>
        <v>43976</v>
      </c>
      <c r="J482" s="10" t="n">
        <f aca="false">IFERROR(D482/E482,"")</f>
        <v>93654.0882352941</v>
      </c>
      <c r="K482" s="11" t="n">
        <f aca="false">IFERROR(D482/F482,"")</f>
        <v>1342.42790893761</v>
      </c>
    </row>
    <row r="483" customFormat="false" ht="15" hidden="false" customHeight="false" outlineLevel="0" collapsed="false">
      <c r="A483" s="8" t="n">
        <v>43982</v>
      </c>
      <c r="B483" s="9" t="s">
        <v>38</v>
      </c>
      <c r="C483" s="10" t="n">
        <v>14808</v>
      </c>
      <c r="D483" s="10" t="n">
        <v>1336789.5</v>
      </c>
      <c r="E483" s="9" t="n">
        <v>16</v>
      </c>
      <c r="F483" s="9" t="n">
        <v>917</v>
      </c>
      <c r="G483" s="9" t="n">
        <v>802</v>
      </c>
      <c r="H483" s="9" t="n">
        <f aca="false">WEEKNUM(A483,21)</f>
        <v>22</v>
      </c>
      <c r="I483" s="8" t="n">
        <f aca="false">A483-WEEKDAY(A483,3)</f>
        <v>43976</v>
      </c>
      <c r="J483" s="10" t="n">
        <f aca="false">IFERROR(D483/E483,"")</f>
        <v>83549.34375</v>
      </c>
      <c r="K483" s="11" t="n">
        <f aca="false">IFERROR(D483/F483,"")</f>
        <v>1457.78571428571</v>
      </c>
    </row>
    <row r="484" customFormat="false" ht="15" hidden="false" customHeight="false" outlineLevel="0" collapsed="false">
      <c r="A484" s="8" t="n">
        <v>43982</v>
      </c>
      <c r="B484" s="9" t="s">
        <v>40</v>
      </c>
      <c r="C484" s="10" t="n">
        <v>7944</v>
      </c>
      <c r="D484" s="10" t="n">
        <v>623971.5</v>
      </c>
      <c r="E484" s="9" t="n">
        <v>15</v>
      </c>
      <c r="F484" s="9" t="n">
        <v>441</v>
      </c>
      <c r="G484" s="9" t="n">
        <v>368</v>
      </c>
      <c r="H484" s="9" t="n">
        <f aca="false">WEEKNUM(A484,21)</f>
        <v>22</v>
      </c>
      <c r="I484" s="8" t="n">
        <f aca="false">A484-WEEKDAY(A484,3)</f>
        <v>43976</v>
      </c>
      <c r="J484" s="10" t="n">
        <f aca="false">IFERROR(D484/E484,"")</f>
        <v>41598.1</v>
      </c>
      <c r="K484" s="11" t="n">
        <f aca="false">IFERROR(D484/F484,"")</f>
        <v>1414.90136054422</v>
      </c>
    </row>
    <row r="485" customFormat="false" ht="15" hidden="false" customHeight="false" outlineLevel="0" collapsed="false">
      <c r="A485" s="8" t="n">
        <v>43982</v>
      </c>
      <c r="B485" s="9" t="s">
        <v>35</v>
      </c>
      <c r="C485" s="10" t="n">
        <v>379663.5</v>
      </c>
      <c r="D485" s="10" t="n">
        <v>39380178</v>
      </c>
      <c r="E485" s="9" t="n">
        <v>124</v>
      </c>
      <c r="F485" s="9" t="n">
        <v>21392</v>
      </c>
      <c r="G485" s="9" t="n">
        <v>19869</v>
      </c>
      <c r="H485" s="9" t="n">
        <f aca="false">WEEKNUM(A485,21)</f>
        <v>22</v>
      </c>
      <c r="I485" s="8" t="n">
        <f aca="false">A485-WEEKDAY(A485,3)</f>
        <v>43976</v>
      </c>
      <c r="J485" s="10" t="n">
        <f aca="false">IFERROR(D485/E485,"")</f>
        <v>317582.080645161</v>
      </c>
      <c r="K485" s="11" t="n">
        <f aca="false">IFERROR(D485/F485,"")</f>
        <v>1840.88341436051</v>
      </c>
    </row>
    <row r="486" customFormat="false" ht="15" hidden="false" customHeight="false" outlineLevel="0" collapsed="false">
      <c r="A486" s="8" t="n">
        <v>43982</v>
      </c>
      <c r="B486" s="9" t="s">
        <v>36</v>
      </c>
      <c r="C486" s="10" t="n">
        <v>294337.5</v>
      </c>
      <c r="D486" s="10" t="n">
        <v>29327766</v>
      </c>
      <c r="E486" s="9" t="n">
        <v>129</v>
      </c>
      <c r="F486" s="9" t="n">
        <v>17235</v>
      </c>
      <c r="G486" s="9" t="n">
        <v>16052</v>
      </c>
      <c r="H486" s="9" t="n">
        <f aca="false">WEEKNUM(A486,21)</f>
        <v>22</v>
      </c>
      <c r="I486" s="8" t="n">
        <f aca="false">A486-WEEKDAY(A486,3)</f>
        <v>43976</v>
      </c>
      <c r="J486" s="10" t="n">
        <f aca="false">IFERROR(D486/E486,"")</f>
        <v>227347.023255814</v>
      </c>
      <c r="K486" s="11" t="n">
        <f aca="false">IFERROR(D486/F486,"")</f>
        <v>1701.64003481288</v>
      </c>
    </row>
    <row r="487" customFormat="false" ht="15" hidden="false" customHeight="false" outlineLevel="0" collapsed="false">
      <c r="A487" s="8" t="n">
        <v>43982</v>
      </c>
      <c r="B487" s="9" t="s">
        <v>37</v>
      </c>
      <c r="C487" s="10" t="n">
        <v>12724.5</v>
      </c>
      <c r="D487" s="10" t="n">
        <v>1045515</v>
      </c>
      <c r="E487" s="9" t="n">
        <v>10</v>
      </c>
      <c r="F487" s="9" t="n">
        <v>749</v>
      </c>
      <c r="G487" s="9" t="n">
        <v>655</v>
      </c>
      <c r="H487" s="9" t="n">
        <f aca="false">WEEKNUM(A487,21)</f>
        <v>22</v>
      </c>
      <c r="I487" s="8" t="n">
        <f aca="false">A487-WEEKDAY(A487,3)</f>
        <v>43976</v>
      </c>
      <c r="J487" s="10" t="n">
        <f aca="false">IFERROR(D487/E487,"")</f>
        <v>104551.5</v>
      </c>
      <c r="K487" s="11" t="n">
        <f aca="false">IFERROR(D487/F487,"")</f>
        <v>1395.88117489987</v>
      </c>
    </row>
    <row r="488" customFormat="false" ht="15" hidden="false" customHeight="false" outlineLevel="0" collapsed="false">
      <c r="A488" s="8" t="n">
        <v>43982</v>
      </c>
      <c r="B488" s="9" t="s">
        <v>41</v>
      </c>
      <c r="C488" s="10" t="n">
        <v>6409.5</v>
      </c>
      <c r="D488" s="10" t="n">
        <v>493893</v>
      </c>
      <c r="E488" s="9" t="n">
        <v>9</v>
      </c>
      <c r="F488" s="9" t="n">
        <v>345</v>
      </c>
      <c r="G488" s="9" t="n">
        <v>255</v>
      </c>
      <c r="H488" s="9" t="n">
        <f aca="false">WEEKNUM(A488,21)</f>
        <v>22</v>
      </c>
      <c r="I488" s="8" t="n">
        <f aca="false">A488-WEEKDAY(A488,3)</f>
        <v>43976</v>
      </c>
      <c r="J488" s="10" t="n">
        <f aca="false">IFERROR(D488/E488,"")</f>
        <v>54877</v>
      </c>
      <c r="K488" s="11" t="n">
        <f aca="false">IFERROR(D488/F488,"")</f>
        <v>1431.57391304348</v>
      </c>
    </row>
    <row r="489" customFormat="false" ht="15" hidden="false" customHeight="false" outlineLevel="0" collapsed="false">
      <c r="A489" s="8" t="n">
        <v>43982</v>
      </c>
      <c r="B489" s="9" t="s">
        <v>39</v>
      </c>
      <c r="C489" s="10" t="n">
        <v>10416</v>
      </c>
      <c r="D489" s="10" t="n">
        <v>866023.5</v>
      </c>
      <c r="E489" s="9" t="n">
        <v>7</v>
      </c>
      <c r="F489" s="9" t="n">
        <v>530</v>
      </c>
      <c r="G489" s="9" t="n">
        <v>447</v>
      </c>
      <c r="H489" s="9" t="n">
        <f aca="false">WEEKNUM(A489,21)</f>
        <v>22</v>
      </c>
      <c r="I489" s="8" t="n">
        <f aca="false">A489-WEEKDAY(A489,3)</f>
        <v>43976</v>
      </c>
      <c r="J489" s="10" t="n">
        <f aca="false">IFERROR(D489/E489,"")</f>
        <v>123717.642857143</v>
      </c>
      <c r="K489" s="11" t="n">
        <f aca="false">IFERROR(D489/F489,"")</f>
        <v>1634.00660377358</v>
      </c>
    </row>
    <row r="490" customFormat="false" ht="15" hidden="false" customHeight="false" outlineLevel="0" collapsed="false">
      <c r="A490" s="8" t="n">
        <v>43982</v>
      </c>
      <c r="B490" s="9" t="s">
        <v>42</v>
      </c>
      <c r="C490" s="10" t="n">
        <v>5127</v>
      </c>
      <c r="D490" s="10" t="n">
        <v>468835.5</v>
      </c>
      <c r="E490" s="9" t="n">
        <v>6</v>
      </c>
      <c r="F490" s="9" t="n">
        <v>261</v>
      </c>
      <c r="G490" s="9" t="n">
        <v>188</v>
      </c>
      <c r="H490" s="9" t="n">
        <f aca="false">WEEKNUM(A490,21)</f>
        <v>22</v>
      </c>
      <c r="I490" s="8" t="n">
        <f aca="false">A490-WEEKDAY(A490,3)</f>
        <v>43976</v>
      </c>
      <c r="J490" s="10" t="n">
        <f aca="false">IFERROR(D490/E490,"")</f>
        <v>78139.25</v>
      </c>
      <c r="K490" s="11" t="n">
        <f aca="false">IFERROR(D490/F490,"")</f>
        <v>1796.30459770115</v>
      </c>
    </row>
    <row r="491" customFormat="false" ht="15" hidden="false" customHeight="false" outlineLevel="0" collapsed="false">
      <c r="A491" s="8" t="n">
        <v>43983</v>
      </c>
      <c r="B491" s="9" t="s">
        <v>25</v>
      </c>
      <c r="C491" s="10" t="n">
        <v>64740</v>
      </c>
      <c r="D491" s="10" t="n">
        <v>5800290</v>
      </c>
      <c r="E491" s="9" t="n">
        <v>37</v>
      </c>
      <c r="F491" s="9" t="n">
        <v>4722</v>
      </c>
      <c r="G491" s="9" t="n">
        <v>4352</v>
      </c>
      <c r="H491" s="9" t="n">
        <f aca="false">WEEKNUM(A491,21)</f>
        <v>23</v>
      </c>
      <c r="I491" s="8" t="n">
        <f aca="false">A491-WEEKDAY(A491,3)</f>
        <v>43983</v>
      </c>
      <c r="J491" s="10" t="n">
        <f aca="false">IFERROR(D491/E491,"")</f>
        <v>156764.594594595</v>
      </c>
      <c r="K491" s="11" t="n">
        <f aca="false">IFERROR(D491/F491,"")</f>
        <v>1228.35451080051</v>
      </c>
    </row>
    <row r="492" customFormat="false" ht="15" hidden="false" customHeight="false" outlineLevel="0" collapsed="false">
      <c r="A492" s="8" t="n">
        <v>43983</v>
      </c>
      <c r="B492" s="9" t="s">
        <v>26</v>
      </c>
      <c r="C492" s="10" t="n">
        <v>77269.5</v>
      </c>
      <c r="D492" s="10" t="n">
        <v>6829921.5</v>
      </c>
      <c r="E492" s="9" t="n">
        <v>31</v>
      </c>
      <c r="F492" s="9" t="n">
        <v>5468</v>
      </c>
      <c r="G492" s="9" t="n">
        <v>5081</v>
      </c>
      <c r="H492" s="9" t="n">
        <f aca="false">WEEKNUM(A492,21)</f>
        <v>23</v>
      </c>
      <c r="I492" s="8" t="n">
        <f aca="false">A492-WEEKDAY(A492,3)</f>
        <v>43983</v>
      </c>
      <c r="J492" s="10" t="n">
        <f aca="false">IFERROR(D492/E492,"")</f>
        <v>220320.048387097</v>
      </c>
      <c r="K492" s="11" t="n">
        <f aca="false">IFERROR(D492/F492,"")</f>
        <v>1249.07123262619</v>
      </c>
    </row>
    <row r="493" customFormat="false" ht="15" hidden="false" customHeight="false" outlineLevel="0" collapsed="false">
      <c r="A493" s="8" t="n">
        <v>43983</v>
      </c>
      <c r="B493" s="9" t="s">
        <v>27</v>
      </c>
      <c r="C493" s="10" t="n">
        <v>40528.5</v>
      </c>
      <c r="D493" s="10" t="n">
        <v>3865251</v>
      </c>
      <c r="E493" s="9" t="n">
        <v>23</v>
      </c>
      <c r="F493" s="9" t="n">
        <v>2531</v>
      </c>
      <c r="G493" s="9" t="n">
        <v>2296</v>
      </c>
      <c r="H493" s="9" t="n">
        <f aca="false">WEEKNUM(A493,21)</f>
        <v>23</v>
      </c>
      <c r="I493" s="8" t="n">
        <f aca="false">A493-WEEKDAY(A493,3)</f>
        <v>43983</v>
      </c>
      <c r="J493" s="10" t="n">
        <f aca="false">IFERROR(D493/E493,"")</f>
        <v>168054.391304348</v>
      </c>
      <c r="K493" s="11" t="n">
        <f aca="false">IFERROR(D493/F493,"")</f>
        <v>1527.16357171079</v>
      </c>
    </row>
    <row r="494" customFormat="false" ht="15" hidden="false" customHeight="false" outlineLevel="0" collapsed="false">
      <c r="A494" s="8" t="n">
        <v>43983</v>
      </c>
      <c r="B494" s="9" t="s">
        <v>28</v>
      </c>
      <c r="C494" s="10" t="n">
        <v>31947</v>
      </c>
      <c r="D494" s="10" t="n">
        <v>2945035.5</v>
      </c>
      <c r="E494" s="9" t="n">
        <v>21</v>
      </c>
      <c r="F494" s="9" t="n">
        <v>2025</v>
      </c>
      <c r="G494" s="9" t="n">
        <v>1849</v>
      </c>
      <c r="H494" s="9" t="n">
        <f aca="false">WEEKNUM(A494,21)</f>
        <v>23</v>
      </c>
      <c r="I494" s="8" t="n">
        <f aca="false">A494-WEEKDAY(A494,3)</f>
        <v>43983</v>
      </c>
      <c r="J494" s="10" t="n">
        <f aca="false">IFERROR(D494/E494,"")</f>
        <v>140239.785714286</v>
      </c>
      <c r="K494" s="11" t="n">
        <f aca="false">IFERROR(D494/F494,"")</f>
        <v>1454.33851851852</v>
      </c>
    </row>
    <row r="495" customFormat="false" ht="15" hidden="false" customHeight="false" outlineLevel="0" collapsed="false">
      <c r="A495" s="8" t="n">
        <v>43983</v>
      </c>
      <c r="B495" s="9" t="s">
        <v>29</v>
      </c>
      <c r="C495" s="10" t="n">
        <v>27960</v>
      </c>
      <c r="D495" s="10" t="n">
        <v>2538967.5</v>
      </c>
      <c r="E495" s="9" t="n">
        <v>21</v>
      </c>
      <c r="F495" s="9" t="n">
        <v>1879</v>
      </c>
      <c r="G495" s="9" t="n">
        <v>1720</v>
      </c>
      <c r="H495" s="9" t="n">
        <f aca="false">WEEKNUM(A495,21)</f>
        <v>23</v>
      </c>
      <c r="I495" s="8" t="n">
        <f aca="false">A495-WEEKDAY(A495,3)</f>
        <v>43983</v>
      </c>
      <c r="J495" s="10" t="n">
        <f aca="false">IFERROR(D495/E495,"")</f>
        <v>120903.214285714</v>
      </c>
      <c r="K495" s="11" t="n">
        <f aca="false">IFERROR(D495/F495,"")</f>
        <v>1351.2333688132</v>
      </c>
    </row>
    <row r="496" customFormat="false" ht="15" hidden="false" customHeight="false" outlineLevel="0" collapsed="false">
      <c r="A496" s="8" t="n">
        <v>43983</v>
      </c>
      <c r="B496" s="9" t="s">
        <v>30</v>
      </c>
      <c r="C496" s="10" t="n">
        <v>183228</v>
      </c>
      <c r="D496" s="10" t="n">
        <v>18914194.5</v>
      </c>
      <c r="E496" s="9" t="n">
        <v>54</v>
      </c>
      <c r="F496" s="9" t="n">
        <v>11864</v>
      </c>
      <c r="G496" s="9" t="n">
        <v>11071</v>
      </c>
      <c r="H496" s="9" t="n">
        <f aca="false">WEEKNUM(A496,21)</f>
        <v>23</v>
      </c>
      <c r="I496" s="8" t="n">
        <f aca="false">A496-WEEKDAY(A496,3)</f>
        <v>43983</v>
      </c>
      <c r="J496" s="10" t="n">
        <f aca="false">IFERROR(D496/E496,"")</f>
        <v>350262.861111111</v>
      </c>
      <c r="K496" s="11" t="n">
        <f aca="false">IFERROR(D496/F496,"")</f>
        <v>1594.25105360755</v>
      </c>
    </row>
    <row r="497" customFormat="false" ht="15" hidden="false" customHeight="false" outlineLevel="0" collapsed="false">
      <c r="A497" s="8" t="n">
        <v>43983</v>
      </c>
      <c r="B497" s="9" t="s">
        <v>31</v>
      </c>
      <c r="C497" s="10" t="n">
        <v>188776.5</v>
      </c>
      <c r="D497" s="10" t="n">
        <v>19465372.5</v>
      </c>
      <c r="E497" s="9" t="n">
        <v>59</v>
      </c>
      <c r="F497" s="9" t="n">
        <v>12299</v>
      </c>
      <c r="G497" s="9" t="n">
        <v>11448</v>
      </c>
      <c r="H497" s="9" t="n">
        <f aca="false">WEEKNUM(A497,21)</f>
        <v>23</v>
      </c>
      <c r="I497" s="8" t="n">
        <f aca="false">A497-WEEKDAY(A497,3)</f>
        <v>43983</v>
      </c>
      <c r="J497" s="10" t="n">
        <f aca="false">IFERROR(D497/E497,"")</f>
        <v>329921.56779661</v>
      </c>
      <c r="K497" s="11" t="n">
        <f aca="false">IFERROR(D497/F497,"")</f>
        <v>1582.67928286853</v>
      </c>
    </row>
    <row r="498" customFormat="false" ht="15" hidden="false" customHeight="false" outlineLevel="0" collapsed="false">
      <c r="A498" s="8" t="n">
        <v>43983</v>
      </c>
      <c r="B498" s="9" t="s">
        <v>32</v>
      </c>
      <c r="C498" s="10" t="n">
        <v>32170.5</v>
      </c>
      <c r="D498" s="10" t="n">
        <v>3013512</v>
      </c>
      <c r="E498" s="9" t="n">
        <v>20</v>
      </c>
      <c r="F498" s="9" t="n">
        <v>2136</v>
      </c>
      <c r="G498" s="9" t="n">
        <v>1899</v>
      </c>
      <c r="H498" s="9" t="n">
        <f aca="false">WEEKNUM(A498,21)</f>
        <v>23</v>
      </c>
      <c r="I498" s="8" t="n">
        <f aca="false">A498-WEEKDAY(A498,3)</f>
        <v>43983</v>
      </c>
      <c r="J498" s="10" t="n">
        <f aca="false">IFERROR(D498/E498,"")</f>
        <v>150675.6</v>
      </c>
      <c r="K498" s="11" t="n">
        <f aca="false">IFERROR(D498/F498,"")</f>
        <v>1410.8202247191</v>
      </c>
    </row>
    <row r="499" customFormat="false" ht="15" hidden="false" customHeight="false" outlineLevel="0" collapsed="false">
      <c r="A499" s="8" t="n">
        <v>43983</v>
      </c>
      <c r="B499" s="9" t="s">
        <v>33</v>
      </c>
      <c r="C499" s="10" t="n">
        <v>14238</v>
      </c>
      <c r="D499" s="10" t="n">
        <v>1293219</v>
      </c>
      <c r="E499" s="9" t="n">
        <v>18</v>
      </c>
      <c r="F499" s="9" t="n">
        <v>923</v>
      </c>
      <c r="G499" s="9" t="n">
        <v>824</v>
      </c>
      <c r="H499" s="9" t="n">
        <f aca="false">WEEKNUM(A499,21)</f>
        <v>23</v>
      </c>
      <c r="I499" s="8" t="n">
        <f aca="false">A499-WEEKDAY(A499,3)</f>
        <v>43983</v>
      </c>
      <c r="J499" s="10" t="n">
        <f aca="false">IFERROR(D499/E499,"")</f>
        <v>71845.5</v>
      </c>
      <c r="K499" s="11" t="n">
        <f aca="false">IFERROR(D499/F499,"")</f>
        <v>1401.10400866739</v>
      </c>
    </row>
    <row r="500" customFormat="false" ht="15" hidden="false" customHeight="false" outlineLevel="0" collapsed="false">
      <c r="A500" s="8" t="n">
        <v>43983</v>
      </c>
      <c r="B500" s="9" t="s">
        <v>34</v>
      </c>
      <c r="C500" s="10" t="n">
        <v>16687.5</v>
      </c>
      <c r="D500" s="10" t="n">
        <v>1526608.5</v>
      </c>
      <c r="E500" s="9" t="n">
        <v>17</v>
      </c>
      <c r="F500" s="9" t="n">
        <v>1185</v>
      </c>
      <c r="G500" s="9" t="n">
        <v>1042</v>
      </c>
      <c r="H500" s="9" t="n">
        <f aca="false">WEEKNUM(A500,21)</f>
        <v>23</v>
      </c>
      <c r="I500" s="8" t="n">
        <f aca="false">A500-WEEKDAY(A500,3)</f>
        <v>43983</v>
      </c>
      <c r="J500" s="10" t="n">
        <f aca="false">IFERROR(D500/E500,"")</f>
        <v>89800.5</v>
      </c>
      <c r="K500" s="11" t="n">
        <f aca="false">IFERROR(D500/F500,"")</f>
        <v>1288.27721518987</v>
      </c>
    </row>
    <row r="501" customFormat="false" ht="15" hidden="false" customHeight="false" outlineLevel="0" collapsed="false">
      <c r="A501" s="8" t="n">
        <v>43983</v>
      </c>
      <c r="B501" s="9" t="s">
        <v>38</v>
      </c>
      <c r="C501" s="10" t="n">
        <v>16476</v>
      </c>
      <c r="D501" s="10" t="n">
        <v>1565632.5</v>
      </c>
      <c r="E501" s="9" t="n">
        <v>16</v>
      </c>
      <c r="F501" s="9" t="n">
        <v>1019</v>
      </c>
      <c r="G501" s="9" t="n">
        <v>895</v>
      </c>
      <c r="H501" s="9" t="n">
        <f aca="false">WEEKNUM(A501,21)</f>
        <v>23</v>
      </c>
      <c r="I501" s="8" t="n">
        <f aca="false">A501-WEEKDAY(A501,3)</f>
        <v>43983</v>
      </c>
      <c r="J501" s="10" t="n">
        <f aca="false">IFERROR(D501/E501,"")</f>
        <v>97852.03125</v>
      </c>
      <c r="K501" s="11" t="n">
        <f aca="false">IFERROR(D501/F501,"")</f>
        <v>1536.4401373896</v>
      </c>
    </row>
    <row r="502" customFormat="false" ht="15" hidden="false" customHeight="false" outlineLevel="0" collapsed="false">
      <c r="A502" s="8" t="n">
        <v>43983</v>
      </c>
      <c r="B502" s="9" t="s">
        <v>40</v>
      </c>
      <c r="C502" s="10" t="n">
        <v>7816.5</v>
      </c>
      <c r="D502" s="10" t="n">
        <v>636345</v>
      </c>
      <c r="E502" s="9" t="n">
        <v>15</v>
      </c>
      <c r="F502" s="9" t="n">
        <v>453</v>
      </c>
      <c r="G502" s="9" t="n">
        <v>370</v>
      </c>
      <c r="H502" s="9" t="n">
        <f aca="false">WEEKNUM(A502,21)</f>
        <v>23</v>
      </c>
      <c r="I502" s="8" t="n">
        <f aca="false">A502-WEEKDAY(A502,3)</f>
        <v>43983</v>
      </c>
      <c r="J502" s="10" t="n">
        <f aca="false">IFERROR(D502/E502,"")</f>
        <v>42423</v>
      </c>
      <c r="K502" s="11" t="n">
        <f aca="false">IFERROR(D502/F502,"")</f>
        <v>1404.73509933775</v>
      </c>
    </row>
    <row r="503" customFormat="false" ht="15" hidden="false" customHeight="false" outlineLevel="0" collapsed="false">
      <c r="A503" s="8" t="n">
        <v>43983</v>
      </c>
      <c r="B503" s="9" t="s">
        <v>35</v>
      </c>
      <c r="C503" s="10" t="n">
        <v>349699.5</v>
      </c>
      <c r="D503" s="10" t="n">
        <v>37257840.18135</v>
      </c>
      <c r="E503" s="9" t="n">
        <v>123</v>
      </c>
      <c r="F503" s="9" t="n">
        <v>20325</v>
      </c>
      <c r="G503" s="9" t="n">
        <v>18935</v>
      </c>
      <c r="H503" s="9" t="n">
        <f aca="false">WEEKNUM(A503,21)</f>
        <v>23</v>
      </c>
      <c r="I503" s="8" t="n">
        <f aca="false">A503-WEEKDAY(A503,3)</f>
        <v>43983</v>
      </c>
      <c r="J503" s="10" t="n">
        <f aca="false">IFERROR(D503/E503,"")</f>
        <v>302909.269767073</v>
      </c>
      <c r="K503" s="11" t="n">
        <f aca="false">IFERROR(D503/F503,"")</f>
        <v>1833.1040679631</v>
      </c>
    </row>
    <row r="504" customFormat="false" ht="15" hidden="false" customHeight="false" outlineLevel="0" collapsed="false">
      <c r="A504" s="8" t="n">
        <v>43983</v>
      </c>
      <c r="B504" s="9" t="s">
        <v>36</v>
      </c>
      <c r="C504" s="10" t="n">
        <v>272926.5</v>
      </c>
      <c r="D504" s="10" t="n">
        <v>27770092.5</v>
      </c>
      <c r="E504" s="9" t="n">
        <v>128</v>
      </c>
      <c r="F504" s="9" t="n">
        <v>16285</v>
      </c>
      <c r="G504" s="9" t="n">
        <v>15130</v>
      </c>
      <c r="H504" s="9" t="n">
        <f aca="false">WEEKNUM(A504,21)</f>
        <v>23</v>
      </c>
      <c r="I504" s="8" t="n">
        <f aca="false">A504-WEEKDAY(A504,3)</f>
        <v>43983</v>
      </c>
      <c r="J504" s="10" t="n">
        <f aca="false">IFERROR(D504/E504,"")</f>
        <v>216953.84765625</v>
      </c>
      <c r="K504" s="11" t="n">
        <f aca="false">IFERROR(D504/F504,"")</f>
        <v>1705.25591034695</v>
      </c>
    </row>
    <row r="505" customFormat="false" ht="15" hidden="false" customHeight="false" outlineLevel="0" collapsed="false">
      <c r="A505" s="8" t="n">
        <v>43983</v>
      </c>
      <c r="B505" s="9" t="s">
        <v>37</v>
      </c>
      <c r="C505" s="10" t="n">
        <v>11416.5</v>
      </c>
      <c r="D505" s="10" t="n">
        <v>1007742</v>
      </c>
      <c r="E505" s="9" t="n">
        <v>10</v>
      </c>
      <c r="F505" s="9" t="n">
        <v>719</v>
      </c>
      <c r="G505" s="9" t="n">
        <v>627</v>
      </c>
      <c r="H505" s="9" t="n">
        <f aca="false">WEEKNUM(A505,21)</f>
        <v>23</v>
      </c>
      <c r="I505" s="8" t="n">
        <f aca="false">A505-WEEKDAY(A505,3)</f>
        <v>43983</v>
      </c>
      <c r="J505" s="10" t="n">
        <f aca="false">IFERROR(D505/E505,"")</f>
        <v>100774.2</v>
      </c>
      <c r="K505" s="11" t="n">
        <f aca="false">IFERROR(D505/F505,"")</f>
        <v>1401.58831710709</v>
      </c>
    </row>
    <row r="506" customFormat="false" ht="15" hidden="false" customHeight="false" outlineLevel="0" collapsed="false">
      <c r="A506" s="8" t="n">
        <v>43983</v>
      </c>
      <c r="B506" s="9" t="s">
        <v>41</v>
      </c>
      <c r="C506" s="10" t="n">
        <v>5166</v>
      </c>
      <c r="D506" s="10" t="n">
        <v>389013</v>
      </c>
      <c r="E506" s="9" t="n">
        <v>9</v>
      </c>
      <c r="F506" s="9" t="n">
        <v>294</v>
      </c>
      <c r="G506" s="9" t="n">
        <v>224</v>
      </c>
      <c r="H506" s="9" t="n">
        <f aca="false">WEEKNUM(A506,21)</f>
        <v>23</v>
      </c>
      <c r="I506" s="8" t="n">
        <f aca="false">A506-WEEKDAY(A506,3)</f>
        <v>43983</v>
      </c>
      <c r="J506" s="10" t="n">
        <f aca="false">IFERROR(D506/E506,"")</f>
        <v>43223.6666666667</v>
      </c>
      <c r="K506" s="11" t="n">
        <f aca="false">IFERROR(D506/F506,"")</f>
        <v>1323.17346938776</v>
      </c>
    </row>
    <row r="507" customFormat="false" ht="15" hidden="false" customHeight="false" outlineLevel="0" collapsed="false">
      <c r="A507" s="8" t="n">
        <v>43983</v>
      </c>
      <c r="B507" s="9" t="s">
        <v>39</v>
      </c>
      <c r="C507" s="10" t="n">
        <v>9474</v>
      </c>
      <c r="D507" s="10" t="n">
        <v>802447.5</v>
      </c>
      <c r="E507" s="9" t="n">
        <v>7</v>
      </c>
      <c r="F507" s="9" t="n">
        <v>500</v>
      </c>
      <c r="G507" s="9" t="n">
        <v>418</v>
      </c>
      <c r="H507" s="9" t="n">
        <f aca="false">WEEKNUM(A507,21)</f>
        <v>23</v>
      </c>
      <c r="I507" s="8" t="n">
        <f aca="false">A507-WEEKDAY(A507,3)</f>
        <v>43983</v>
      </c>
      <c r="J507" s="10" t="n">
        <f aca="false">IFERROR(D507/E507,"")</f>
        <v>114635.357142857</v>
      </c>
      <c r="K507" s="11" t="n">
        <f aca="false">IFERROR(D507/F507,"")</f>
        <v>1604.895</v>
      </c>
    </row>
    <row r="508" customFormat="false" ht="15" hidden="false" customHeight="false" outlineLevel="0" collapsed="false">
      <c r="A508" s="8" t="n">
        <v>43983</v>
      </c>
      <c r="B508" s="9" t="s">
        <v>42</v>
      </c>
      <c r="C508" s="10" t="n">
        <v>4408.5</v>
      </c>
      <c r="D508" s="10" t="n">
        <v>410892</v>
      </c>
      <c r="E508" s="9" t="n">
        <v>6</v>
      </c>
      <c r="F508" s="9" t="n">
        <v>237</v>
      </c>
      <c r="G508" s="9" t="n">
        <v>175</v>
      </c>
      <c r="H508" s="9" t="n">
        <f aca="false">WEEKNUM(A508,21)</f>
        <v>23</v>
      </c>
      <c r="I508" s="8" t="n">
        <f aca="false">A508-WEEKDAY(A508,3)</f>
        <v>43983</v>
      </c>
      <c r="J508" s="10" t="n">
        <f aca="false">IFERROR(D508/E508,"")</f>
        <v>68482</v>
      </c>
      <c r="K508" s="11" t="n">
        <f aca="false">IFERROR(D508/F508,"")</f>
        <v>1733.72151898734</v>
      </c>
    </row>
  </sheetData>
  <autoFilter ref="A4:K508"/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6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7" t="s">
        <v>45</v>
      </c>
      <c r="B4" s="7" t="s">
        <v>46</v>
      </c>
      <c r="C4" s="7" t="s">
        <v>47</v>
      </c>
    </row>
    <row r="5" customFormat="false" ht="15" hidden="false" customHeight="false" outlineLevel="0" collapsed="false">
      <c r="A5" s="12" t="s">
        <v>48</v>
      </c>
      <c r="B5" s="13" t="n">
        <f aca="false">COUNTA(Данные!$B$5:$B$508)</f>
        <v>504</v>
      </c>
      <c r="C5" s="14" t="s">
        <v>49</v>
      </c>
    </row>
    <row r="6" customFormat="false" ht="15" hidden="false" customHeight="false" outlineLevel="0" collapsed="false">
      <c r="A6" s="12" t="s">
        <v>50</v>
      </c>
      <c r="B6" s="13" t="n">
        <f aca="false">SUMPRODUCT((Данные!$B$5:$B$508&lt;&gt;"")/COUNTIF(Данные!$B$5:$B$508,Данные!$B$5:$B$508&amp;""))</f>
        <v>18</v>
      </c>
      <c r="C6" s="14" t="s">
        <v>51</v>
      </c>
    </row>
    <row r="7" customFormat="false" ht="15" hidden="false" customHeight="false" outlineLevel="0" collapsed="false">
      <c r="A7" s="12" t="s">
        <v>52</v>
      </c>
      <c r="B7" s="13" t="n">
        <f aca="false">SUMPRODUCT((Данные!$A$5:$A$508&lt;&gt;"")/COUNTIF(Данные!$A$5:$A$508,Данные!$A$5:$A$508&amp;""))</f>
        <v>35</v>
      </c>
      <c r="C7" s="14" t="s">
        <v>53</v>
      </c>
    </row>
    <row r="8" customFormat="false" ht="15" hidden="false" customHeight="false" outlineLevel="0" collapsed="false">
      <c r="A8" s="12" t="s">
        <v>54</v>
      </c>
      <c r="B8" s="15" t="n">
        <f aca="false">MIN(Данные!$A$5:$A$508)</f>
        <v>43949</v>
      </c>
      <c r="C8" s="14"/>
    </row>
    <row r="9" customFormat="false" ht="15" hidden="false" customHeight="false" outlineLevel="0" collapsed="false">
      <c r="A9" s="12" t="s">
        <v>55</v>
      </c>
      <c r="B9" s="15" t="n">
        <f aca="false">MAX(Данные!$A$5:$A$508)</f>
        <v>43983</v>
      </c>
      <c r="C9" s="14"/>
    </row>
    <row r="10" customFormat="false" ht="15" hidden="false" customHeight="false" outlineLevel="0" collapsed="false">
      <c r="A10" s="12" t="s">
        <v>56</v>
      </c>
      <c r="B10" s="13" t="n">
        <f aca="false">COUNTIF(Данные!$E$5:$E$508,0)</f>
        <v>0</v>
      </c>
      <c r="C10" s="14" t="s">
        <v>57</v>
      </c>
    </row>
    <row r="11" customFormat="false" ht="15" hidden="false" customHeight="false" outlineLevel="0" collapsed="false">
      <c r="A11" s="12" t="s">
        <v>58</v>
      </c>
      <c r="B11" s="13" t="n">
        <f aca="false">SUM(Данные!$D$5:$D$508)</f>
        <v>4962359217.0624</v>
      </c>
      <c r="C11" s="14"/>
    </row>
    <row r="12" customFormat="false" ht="15" hidden="false" customHeight="false" outlineLevel="0" collapsed="false">
      <c r="A12" s="12" t="s">
        <v>59</v>
      </c>
      <c r="B12" s="13" t="n">
        <f aca="false">SUM(Данные!$F$5:$F$508)</f>
        <v>2988770</v>
      </c>
      <c r="C12" s="14"/>
    </row>
    <row r="15" customFormat="false" ht="15" hidden="false" customHeight="false" outlineLevel="0" collapsed="false">
      <c r="A15" s="16" t="s">
        <v>60</v>
      </c>
    </row>
    <row r="16" customFormat="false" ht="15" hidden="false" customHeight="false" outlineLevel="0" collapsed="false">
      <c r="A16" s="7" t="s">
        <v>21</v>
      </c>
      <c r="B16" s="7" t="s">
        <v>61</v>
      </c>
      <c r="C16" s="7" t="s">
        <v>62</v>
      </c>
      <c r="D16" s="7" t="s">
        <v>63</v>
      </c>
    </row>
    <row r="17" customFormat="false" ht="15" hidden="false" customHeight="false" outlineLevel="0" collapsed="false">
      <c r="A17" s="17" t="n">
        <v>18</v>
      </c>
      <c r="B17" s="17" t="n">
        <f aca="false">SUMPRODUCT((Данные!$H$5:$H$508=18)/(COUNTIFS(Данные!$H$5:$H$508,18,Данные!$A$5:$A$508,Данные!$A$5:$A$508)+(Данные!$H$5:$H$508&lt;&gt;18)))</f>
        <v>6</v>
      </c>
      <c r="C17" s="17" t="n">
        <f aca="false">SUMPRODUCT((Данные!$H$5:$H$508=18)/(COUNTIFS(Данные!$H$5:$H$508,18,Данные!$B$5:$B$508,Данные!$B$5:$B$508)+(Данные!$H$5:$H$508&lt;&gt;18)))</f>
        <v>14</v>
      </c>
      <c r="D17" s="17" t="s">
        <v>64</v>
      </c>
    </row>
    <row r="18" customFormat="false" ht="15" hidden="false" customHeight="false" outlineLevel="0" collapsed="false">
      <c r="A18" s="12" t="n">
        <v>19</v>
      </c>
      <c r="B18" s="12" t="n">
        <f aca="false">SUMPRODUCT((Данные!$H$5:$H$508=19)/(COUNTIFS(Данные!$H$5:$H$508,19,Данные!$A$5:$A$508,Данные!$A$5:$A$508)+(Данные!$H$5:$H$508&lt;&gt;19)))</f>
        <v>7</v>
      </c>
      <c r="C18" s="12" t="n">
        <f aca="false">SUMPRODUCT((Данные!$H$5:$H$508=19)/(COUNTIFS(Данные!$H$5:$H$508,19,Данные!$B$5:$B$508,Данные!$B$5:$B$508)+(Данные!$H$5:$H$508&lt;&gt;19)))</f>
        <v>14</v>
      </c>
      <c r="D18" s="12" t="s">
        <v>65</v>
      </c>
    </row>
    <row r="19" customFormat="false" ht="15" hidden="false" customHeight="false" outlineLevel="0" collapsed="false">
      <c r="A19" s="12" t="n">
        <v>20</v>
      </c>
      <c r="B19" s="12" t="n">
        <f aca="false">SUMPRODUCT((Данные!$H$5:$H$508=20)/(COUNTIFS(Данные!$H$5:$H$508,20,Данные!$A$5:$A$508,Данные!$A$5:$A$508)+(Данные!$H$5:$H$508&lt;&gt;20)))</f>
        <v>7</v>
      </c>
      <c r="C19" s="12" t="n">
        <f aca="false">SUMPRODUCT((Данные!$H$5:$H$508=20)/(COUNTIFS(Данные!$H$5:$H$508,20,Данные!$B$5:$B$508,Данные!$B$5:$B$508)+(Данные!$H$5:$H$508&lt;&gt;20)))</f>
        <v>14</v>
      </c>
      <c r="D19" s="12" t="s">
        <v>65</v>
      </c>
    </row>
    <row r="20" customFormat="false" ht="15" hidden="false" customHeight="false" outlineLevel="0" collapsed="false">
      <c r="A20" s="12" t="n">
        <v>21</v>
      </c>
      <c r="B20" s="12" t="n">
        <f aca="false">SUMPRODUCT((Данные!$H$5:$H$508=21)/(COUNTIFS(Данные!$H$5:$H$508,21,Данные!$A$5:$A$508,Данные!$A$5:$A$508)+(Данные!$H$5:$H$508&lt;&gt;21)))</f>
        <v>7</v>
      </c>
      <c r="C20" s="12" t="n">
        <f aca="false">SUMPRODUCT((Данные!$H$5:$H$508=21)/(COUNTIFS(Данные!$H$5:$H$508,21,Данные!$B$5:$B$508,Данные!$B$5:$B$508)+(Данные!$H$5:$H$508&lt;&gt;21)))</f>
        <v>14</v>
      </c>
      <c r="D20" s="12" t="s">
        <v>65</v>
      </c>
    </row>
    <row r="21" customFormat="false" ht="15" hidden="false" customHeight="false" outlineLevel="0" collapsed="false">
      <c r="A21" s="12" t="n">
        <v>22</v>
      </c>
      <c r="B21" s="12" t="n">
        <f aca="false">SUMPRODUCT((Данные!$H$5:$H$508=22)/(COUNTIFS(Данные!$H$5:$H$508,22,Данные!$A$5:$A$508,Данные!$A$5:$A$508)+(Данные!$H$5:$H$508&lt;&gt;22)))</f>
        <v>7</v>
      </c>
      <c r="C21" s="12" t="n">
        <f aca="false">SUMPRODUCT((Данные!$H$5:$H$508=22)/(COUNTIFS(Данные!$H$5:$H$508,22,Данные!$B$5:$B$508,Данные!$B$5:$B$508)+(Данные!$H$5:$H$508&lt;&gt;22)))</f>
        <v>18</v>
      </c>
      <c r="D21" s="12" t="s">
        <v>65</v>
      </c>
    </row>
    <row r="22" customFormat="false" ht="15" hidden="false" customHeight="false" outlineLevel="0" collapsed="false">
      <c r="A22" s="17" t="n">
        <v>23</v>
      </c>
      <c r="B22" s="17" t="n">
        <f aca="false">SUMPRODUCT((Данные!$H$5:$H$508=23)/(COUNTIFS(Данные!$H$5:$H$508,23,Данные!$A$5:$A$508,Данные!$A$5:$A$508)+(Данные!$H$5:$H$508&lt;&gt;23)))</f>
        <v>1</v>
      </c>
      <c r="C22" s="17" t="n">
        <f aca="false">SUMPRODUCT((Данные!$H$5:$H$508=23)/(COUNTIFS(Данные!$H$5:$H$508,23,Данные!$B$5:$B$508,Данные!$B$5:$B$508)+(Данные!$H$5:$H$508&lt;&gt;23)))</f>
        <v>18</v>
      </c>
      <c r="D22" s="17" t="s">
        <v>66</v>
      </c>
    </row>
    <row r="25" customFormat="false" ht="15" hidden="false" customHeight="false" outlineLevel="0" collapsed="false">
      <c r="A25" s="16" t="s">
        <v>67</v>
      </c>
    </row>
    <row r="26" customFormat="false" ht="15" hidden="false" customHeight="false" outlineLevel="0" collapsed="false">
      <c r="A26" s="7" t="s">
        <v>15</v>
      </c>
      <c r="B26" s="7" t="s">
        <v>68</v>
      </c>
      <c r="C26" s="7" t="s">
        <v>69</v>
      </c>
      <c r="D26" s="7" t="s">
        <v>47</v>
      </c>
    </row>
    <row r="27" customFormat="false" ht="15" hidden="false" customHeight="false" outlineLevel="0" collapsed="false">
      <c r="A27" s="12" t="s">
        <v>38</v>
      </c>
      <c r="B27" s="18" t="n">
        <f aca="false">_xlfn.MINIFS(Данные!$A$5:$A$508,Данные!$B$5:$B$508,A27)</f>
        <v>43951</v>
      </c>
      <c r="C27" s="12" t="n">
        <f aca="false">COUNTIF(Данные!$B$5:$B$508,A27)</f>
        <v>33</v>
      </c>
      <c r="D27" s="12" t="s">
        <v>70</v>
      </c>
    </row>
    <row r="28" customFormat="false" ht="15" hidden="false" customHeight="false" outlineLevel="0" collapsed="false">
      <c r="A28" s="12" t="s">
        <v>39</v>
      </c>
      <c r="B28" s="18" t="n">
        <f aca="false">_xlfn.MINIFS(Данные!$A$5:$A$508,Данные!$B$5:$B$508,A28)</f>
        <v>43977</v>
      </c>
      <c r="C28" s="12" t="n">
        <f aca="false">COUNTIF(Данные!$B$5:$B$508,A28)</f>
        <v>7</v>
      </c>
      <c r="D28" s="12" t="s">
        <v>70</v>
      </c>
    </row>
    <row r="29" customFormat="false" ht="15" hidden="false" customHeight="false" outlineLevel="0" collapsed="false">
      <c r="A29" s="12" t="s">
        <v>40</v>
      </c>
      <c r="B29" s="18" t="n">
        <f aca="false">_xlfn.MINIFS(Данные!$A$5:$A$508,Данные!$B$5:$B$508,A29)</f>
        <v>43979</v>
      </c>
      <c r="C29" s="12" t="n">
        <f aca="false">COUNTIF(Данные!$B$5:$B$508,A29)</f>
        <v>5</v>
      </c>
      <c r="D29" s="12" t="s">
        <v>70</v>
      </c>
    </row>
    <row r="30" customFormat="false" ht="15" hidden="false" customHeight="false" outlineLevel="0" collapsed="false">
      <c r="A30" s="12" t="s">
        <v>41</v>
      </c>
      <c r="B30" s="18" t="n">
        <f aca="false">_xlfn.MINIFS(Данные!$A$5:$A$508,Данные!$B$5:$B$508,A30)</f>
        <v>43982</v>
      </c>
      <c r="C30" s="12" t="n">
        <f aca="false">COUNTIF(Данные!$B$5:$B$508,A30)</f>
        <v>2</v>
      </c>
      <c r="D30" s="12" t="s">
        <v>70</v>
      </c>
    </row>
    <row r="31" customFormat="false" ht="15" hidden="false" customHeight="false" outlineLevel="0" collapsed="false">
      <c r="A31" s="12" t="s">
        <v>42</v>
      </c>
      <c r="B31" s="18" t="n">
        <f aca="false">_xlfn.MINIFS(Данные!$A$5:$A$508,Данные!$B$5:$B$508,A31)</f>
        <v>43982</v>
      </c>
      <c r="C31" s="12" t="n">
        <f aca="false">COUNTIF(Данные!$B$5:$B$508,A31)</f>
        <v>2</v>
      </c>
      <c r="D31" s="12" t="s">
        <v>70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5"/>
  </cols>
  <sheetData>
    <row r="1" customFormat="false" ht="17.35" hidden="false" customHeight="false" outlineLevel="0" collapsed="false">
      <c r="A1" s="6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7" t="s">
        <v>15</v>
      </c>
      <c r="B4" s="19" t="n">
        <v>18</v>
      </c>
      <c r="C4" s="20" t="n">
        <v>19</v>
      </c>
      <c r="D4" s="20" t="n">
        <v>20</v>
      </c>
      <c r="E4" s="20" t="n">
        <v>21</v>
      </c>
      <c r="F4" s="20" t="n">
        <v>22</v>
      </c>
      <c r="G4" s="19" t="n">
        <v>23</v>
      </c>
      <c r="H4" s="7" t="s">
        <v>73</v>
      </c>
      <c r="I4" s="7" t="s">
        <v>74</v>
      </c>
    </row>
    <row r="5" customFormat="false" ht="15" hidden="false" customHeight="false" outlineLevel="0" collapsed="false">
      <c r="A5" s="12" t="s">
        <v>25</v>
      </c>
      <c r="B5" s="21" t="n">
        <f aca="false">SUMIFS(Данные!$D$5:$D$508,Данные!$B$5:$B$508,$A5,Данные!$H$5:$H$508,B$4-0+0)</f>
        <v>36934095</v>
      </c>
      <c r="C5" s="22" t="n">
        <f aca="false">SUMIFS(Данные!$D$5:$D$508,Данные!$B$5:$B$508,$A5,Данные!$H$5:$H$508,C$4-0+0)</f>
        <v>43307155.5</v>
      </c>
      <c r="D5" s="22" t="n">
        <f aca="false">SUMIFS(Данные!$D$5:$D$508,Данные!$B$5:$B$508,$A5,Данные!$H$5:$H$508,D$4-0+0)</f>
        <v>41300679</v>
      </c>
      <c r="E5" s="22" t="n">
        <f aca="false">SUMIFS(Данные!$D$5:$D$508,Данные!$B$5:$B$508,$A5,Данные!$H$5:$H$508,E$4-0+0)</f>
        <v>44172813</v>
      </c>
      <c r="F5" s="22" t="n">
        <f aca="false">SUMIFS(Данные!$D$5:$D$508,Данные!$B$5:$B$508,$A5,Данные!$H$5:$H$508,F$4-0+0)</f>
        <v>46485094.5</v>
      </c>
      <c r="G5" s="21" t="n">
        <f aca="false">SUMIFS(Данные!$D$5:$D$508,Данные!$B$5:$B$508,$A5,Данные!$H$5:$H$508,G$4-0+0)</f>
        <v>5800290</v>
      </c>
      <c r="H5" s="22" t="n">
        <f aca="false">SUM(B5:G5)</f>
        <v>218000127</v>
      </c>
      <c r="I5" s="23" t="n">
        <f aca="false">H5/H$23</f>
        <v>0.043930742911645</v>
      </c>
    </row>
    <row r="6" customFormat="false" ht="15" hidden="false" customHeight="false" outlineLevel="0" collapsed="false">
      <c r="A6" s="12" t="s">
        <v>26</v>
      </c>
      <c r="B6" s="21" t="n">
        <f aca="false">SUMIFS(Данные!$D$5:$D$508,Данные!$B$5:$B$508,$A6,Данные!$H$5:$H$508,B$4-0+0)</f>
        <v>42828757.5</v>
      </c>
      <c r="C6" s="22" t="n">
        <f aca="false">SUMIFS(Данные!$D$5:$D$508,Данные!$B$5:$B$508,$A6,Данные!$H$5:$H$508,C$4-0+0)</f>
        <v>46366009.5</v>
      </c>
      <c r="D6" s="22" t="n">
        <f aca="false">SUMIFS(Данные!$D$5:$D$508,Данные!$B$5:$B$508,$A6,Данные!$H$5:$H$508,D$4-0+0)</f>
        <v>47079841.5</v>
      </c>
      <c r="E6" s="22" t="n">
        <f aca="false">SUMIFS(Данные!$D$5:$D$508,Данные!$B$5:$B$508,$A6,Данные!$H$5:$H$508,E$4-0+0)</f>
        <v>49575288</v>
      </c>
      <c r="F6" s="22" t="n">
        <f aca="false">SUMIFS(Данные!$D$5:$D$508,Данные!$B$5:$B$508,$A6,Данные!$H$5:$H$508,F$4-0+0)</f>
        <v>50729185.5</v>
      </c>
      <c r="G6" s="21" t="n">
        <f aca="false">SUMIFS(Данные!$D$5:$D$508,Данные!$B$5:$B$508,$A6,Данные!$H$5:$H$508,G$4-0+0)</f>
        <v>6829921.5</v>
      </c>
      <c r="H6" s="22" t="n">
        <f aca="false">SUM(B6:G6)</f>
        <v>243409003.5</v>
      </c>
      <c r="I6" s="23" t="n">
        <f aca="false">H6/H$23</f>
        <v>0.0490510647965732</v>
      </c>
    </row>
    <row r="7" customFormat="false" ht="15" hidden="false" customHeight="false" outlineLevel="0" collapsed="false">
      <c r="A7" s="12" t="s">
        <v>27</v>
      </c>
      <c r="B7" s="21" t="n">
        <f aca="false">SUMIFS(Данные!$D$5:$D$508,Данные!$B$5:$B$508,$A7,Данные!$H$5:$H$508,B$4-0+0)</f>
        <v>17828215.5</v>
      </c>
      <c r="C7" s="22" t="n">
        <f aca="false">SUMIFS(Данные!$D$5:$D$508,Данные!$B$5:$B$508,$A7,Данные!$H$5:$H$508,C$4-0+0)</f>
        <v>20974521</v>
      </c>
      <c r="D7" s="22" t="n">
        <f aca="false">SUMIFS(Данные!$D$5:$D$508,Данные!$B$5:$B$508,$A7,Данные!$H$5:$H$508,D$4-0+0)</f>
        <v>23603355</v>
      </c>
      <c r="E7" s="22" t="n">
        <f aca="false">SUMIFS(Данные!$D$5:$D$508,Данные!$B$5:$B$508,$A7,Данные!$H$5:$H$508,E$4-0+0)</f>
        <v>26815804.5</v>
      </c>
      <c r="F7" s="22" t="n">
        <f aca="false">SUMIFS(Данные!$D$5:$D$508,Данные!$B$5:$B$508,$A7,Данные!$H$5:$H$508,F$4-0+0)</f>
        <v>27495690</v>
      </c>
      <c r="G7" s="21" t="n">
        <f aca="false">SUMIFS(Данные!$D$5:$D$508,Данные!$B$5:$B$508,$A7,Данные!$H$5:$H$508,G$4-0+0)</f>
        <v>3865251</v>
      </c>
      <c r="H7" s="22" t="n">
        <f aca="false">SUM(B7:G7)</f>
        <v>120582837</v>
      </c>
      <c r="I7" s="23" t="n">
        <f aca="false">H7/H$23</f>
        <v>0.0242994978246219</v>
      </c>
    </row>
    <row r="8" customFormat="false" ht="15" hidden="false" customHeight="false" outlineLevel="0" collapsed="false">
      <c r="A8" s="12" t="s">
        <v>28</v>
      </c>
      <c r="B8" s="21" t="n">
        <f aca="false">SUMIFS(Данные!$D$5:$D$508,Данные!$B$5:$B$508,$A8,Данные!$H$5:$H$508,B$4-0+0)</f>
        <v>16029679.5</v>
      </c>
      <c r="C8" s="22" t="n">
        <f aca="false">SUMIFS(Данные!$D$5:$D$508,Данные!$B$5:$B$508,$A8,Данные!$H$5:$H$508,C$4-0+0)</f>
        <v>19479055.5</v>
      </c>
      <c r="D8" s="22" t="n">
        <f aca="false">SUMIFS(Данные!$D$5:$D$508,Данные!$B$5:$B$508,$A8,Данные!$H$5:$H$508,D$4-0+0)</f>
        <v>19724733</v>
      </c>
      <c r="E8" s="22" t="n">
        <f aca="false">SUMIFS(Данные!$D$5:$D$508,Данные!$B$5:$B$508,$A8,Данные!$H$5:$H$508,E$4-0+0)</f>
        <v>20915751</v>
      </c>
      <c r="F8" s="22" t="n">
        <f aca="false">SUMIFS(Данные!$D$5:$D$508,Данные!$B$5:$B$508,$A8,Данные!$H$5:$H$508,F$4-0+0)</f>
        <v>22579281</v>
      </c>
      <c r="G8" s="21" t="n">
        <f aca="false">SUMIFS(Данные!$D$5:$D$508,Данные!$B$5:$B$508,$A8,Данные!$H$5:$H$508,G$4-0+0)</f>
        <v>2945035.5</v>
      </c>
      <c r="H8" s="22" t="n">
        <f aca="false">SUM(B8:G8)</f>
        <v>101673535.5</v>
      </c>
      <c r="I8" s="23" t="n">
        <f aca="false">H8/H$23</f>
        <v>0.020488951132439</v>
      </c>
    </row>
    <row r="9" customFormat="false" ht="15" hidden="false" customHeight="false" outlineLevel="0" collapsed="false">
      <c r="A9" s="12" t="s">
        <v>29</v>
      </c>
      <c r="B9" s="21" t="n">
        <f aca="false">SUMIFS(Данные!$D$5:$D$508,Данные!$B$5:$B$508,$A9,Данные!$H$5:$H$508,B$4-0+0)</f>
        <v>13955985</v>
      </c>
      <c r="C9" s="22" t="n">
        <f aca="false">SUMIFS(Данные!$D$5:$D$508,Данные!$B$5:$B$508,$A9,Данные!$H$5:$H$508,C$4-0+0)</f>
        <v>16391856</v>
      </c>
      <c r="D9" s="22" t="n">
        <f aca="false">SUMIFS(Данные!$D$5:$D$508,Данные!$B$5:$B$508,$A9,Данные!$H$5:$H$508,D$4-0+0)</f>
        <v>16732521</v>
      </c>
      <c r="E9" s="22" t="n">
        <f aca="false">SUMIFS(Данные!$D$5:$D$508,Данные!$B$5:$B$508,$A9,Данные!$H$5:$H$508,E$4-0+0)</f>
        <v>17647479</v>
      </c>
      <c r="F9" s="22" t="n">
        <f aca="false">SUMIFS(Данные!$D$5:$D$508,Данные!$B$5:$B$508,$A9,Данные!$H$5:$H$508,F$4-0+0)</f>
        <v>18595773</v>
      </c>
      <c r="G9" s="21" t="n">
        <f aca="false">SUMIFS(Данные!$D$5:$D$508,Данные!$B$5:$B$508,$A9,Данные!$H$5:$H$508,G$4-0+0)</f>
        <v>2538967.5</v>
      </c>
      <c r="H9" s="22" t="n">
        <f aca="false">SUM(B9:G9)</f>
        <v>85862581.5</v>
      </c>
      <c r="I9" s="23" t="n">
        <f aca="false">H9/H$23</f>
        <v>0.0173027742942859</v>
      </c>
    </row>
    <row r="10" customFormat="false" ht="15" hidden="false" customHeight="false" outlineLevel="0" collapsed="false">
      <c r="A10" s="12" t="s">
        <v>30</v>
      </c>
      <c r="B10" s="21" t="n">
        <f aca="false">SUMIFS(Данные!$D$5:$D$508,Данные!$B$5:$B$508,$A10,Данные!$H$5:$H$508,B$4-0+0)</f>
        <v>130713645</v>
      </c>
      <c r="C10" s="22" t="n">
        <f aca="false">SUMIFS(Данные!$D$5:$D$508,Данные!$B$5:$B$508,$A10,Данные!$H$5:$H$508,C$4-0+0)</f>
        <v>151642039.5</v>
      </c>
      <c r="D10" s="22" t="n">
        <f aca="false">SUMIFS(Данные!$D$5:$D$508,Данные!$B$5:$B$508,$A10,Данные!$H$5:$H$508,D$4-0+0)</f>
        <v>135813990</v>
      </c>
      <c r="E10" s="22" t="n">
        <f aca="false">SUMIFS(Данные!$D$5:$D$508,Данные!$B$5:$B$508,$A10,Данные!$H$5:$H$508,E$4-0+0)</f>
        <v>149589546</v>
      </c>
      <c r="F10" s="22" t="n">
        <f aca="false">SUMIFS(Данные!$D$5:$D$508,Данные!$B$5:$B$508,$A10,Данные!$H$5:$H$508,F$4-0+0)</f>
        <v>151451013</v>
      </c>
      <c r="G10" s="21" t="n">
        <f aca="false">SUMIFS(Данные!$D$5:$D$508,Данные!$B$5:$B$508,$A10,Данные!$H$5:$H$508,G$4-0+0)</f>
        <v>18914194.5</v>
      </c>
      <c r="H10" s="22" t="n">
        <f aca="false">SUM(B10:G10)</f>
        <v>738124428</v>
      </c>
      <c r="I10" s="23" t="n">
        <f aca="false">H10/H$23</f>
        <v>0.148744658682116</v>
      </c>
    </row>
    <row r="11" customFormat="false" ht="15" hidden="false" customHeight="false" outlineLevel="0" collapsed="false">
      <c r="A11" s="12" t="s">
        <v>31</v>
      </c>
      <c r="B11" s="21" t="n">
        <f aca="false">SUMIFS(Данные!$D$5:$D$508,Данные!$B$5:$B$508,$A11,Данные!$H$5:$H$508,B$4-0+0)</f>
        <v>136791225</v>
      </c>
      <c r="C11" s="22" t="n">
        <f aca="false">SUMIFS(Данные!$D$5:$D$508,Данные!$B$5:$B$508,$A11,Данные!$H$5:$H$508,C$4-0+0)</f>
        <v>159695760</v>
      </c>
      <c r="D11" s="22" t="n">
        <f aca="false">SUMIFS(Данные!$D$5:$D$508,Данные!$B$5:$B$508,$A11,Данные!$H$5:$H$508,D$4-0+0)</f>
        <v>142825023</v>
      </c>
      <c r="E11" s="22" t="n">
        <f aca="false">SUMIFS(Данные!$D$5:$D$508,Данные!$B$5:$B$508,$A11,Данные!$H$5:$H$508,E$4-0+0)</f>
        <v>157512358.5</v>
      </c>
      <c r="F11" s="22" t="n">
        <f aca="false">SUMIFS(Данные!$D$5:$D$508,Данные!$B$5:$B$508,$A11,Данные!$H$5:$H$508,F$4-0+0)</f>
        <v>157857214.5</v>
      </c>
      <c r="G11" s="21" t="n">
        <f aca="false">SUMIFS(Данные!$D$5:$D$508,Данные!$B$5:$B$508,$A11,Данные!$H$5:$H$508,G$4-0+0)</f>
        <v>19465372.5</v>
      </c>
      <c r="H11" s="22" t="n">
        <f aca="false">SUM(B11:G11)</f>
        <v>774146953.5</v>
      </c>
      <c r="I11" s="23" t="n">
        <f aca="false">H11/H$23</f>
        <v>0.156003811823659</v>
      </c>
    </row>
    <row r="12" customFormat="false" ht="15" hidden="false" customHeight="false" outlineLevel="0" collapsed="false">
      <c r="A12" s="12" t="s">
        <v>32</v>
      </c>
      <c r="B12" s="21" t="n">
        <f aca="false">SUMIFS(Данные!$D$5:$D$508,Данные!$B$5:$B$508,$A12,Данные!$H$5:$H$508,B$4-0+0)</f>
        <v>13145965.5</v>
      </c>
      <c r="C12" s="22" t="n">
        <f aca="false">SUMIFS(Данные!$D$5:$D$508,Данные!$B$5:$B$508,$A12,Данные!$H$5:$H$508,C$4-0+0)</f>
        <v>17149980</v>
      </c>
      <c r="D12" s="22" t="n">
        <f aca="false">SUMIFS(Данные!$D$5:$D$508,Данные!$B$5:$B$508,$A12,Данные!$H$5:$H$508,D$4-0+0)</f>
        <v>19963153.5</v>
      </c>
      <c r="E12" s="22" t="n">
        <f aca="false">SUMIFS(Данные!$D$5:$D$508,Данные!$B$5:$B$508,$A12,Данные!$H$5:$H$508,E$4-0+0)</f>
        <v>20713983</v>
      </c>
      <c r="F12" s="22" t="n">
        <f aca="false">SUMIFS(Данные!$D$5:$D$508,Данные!$B$5:$B$508,$A12,Данные!$H$5:$H$508,F$4-0+0)</f>
        <v>21605704.5</v>
      </c>
      <c r="G12" s="21" t="n">
        <f aca="false">SUMIFS(Данные!$D$5:$D$508,Данные!$B$5:$B$508,$A12,Данные!$H$5:$H$508,G$4-0+0)</f>
        <v>3013512</v>
      </c>
      <c r="H12" s="22" t="n">
        <f aca="false">SUM(B12:G12)</f>
        <v>95592298.5</v>
      </c>
      <c r="I12" s="23" t="n">
        <f aca="false">H12/H$23</f>
        <v>0.0192634781801605</v>
      </c>
    </row>
    <row r="13" customFormat="false" ht="15" hidden="false" customHeight="false" outlineLevel="0" collapsed="false">
      <c r="A13" s="12" t="s">
        <v>33</v>
      </c>
      <c r="B13" s="21" t="n">
        <f aca="false">SUMIFS(Данные!$D$5:$D$508,Данные!$B$5:$B$508,$A13,Данные!$H$5:$H$508,B$4-0+0)</f>
        <v>5746024.5</v>
      </c>
      <c r="C13" s="22" t="n">
        <f aca="false">SUMIFS(Данные!$D$5:$D$508,Данные!$B$5:$B$508,$A13,Данные!$H$5:$H$508,C$4-0+0)</f>
        <v>7253572.5</v>
      </c>
      <c r="D13" s="22" t="n">
        <f aca="false">SUMIFS(Данные!$D$5:$D$508,Данные!$B$5:$B$508,$A13,Данные!$H$5:$H$508,D$4-0+0)</f>
        <v>7841920.5</v>
      </c>
      <c r="E13" s="22" t="n">
        <f aca="false">SUMIFS(Данные!$D$5:$D$508,Данные!$B$5:$B$508,$A13,Данные!$H$5:$H$508,E$4-0+0)</f>
        <v>8990269.5</v>
      </c>
      <c r="F13" s="22" t="n">
        <f aca="false">SUMIFS(Данные!$D$5:$D$508,Данные!$B$5:$B$508,$A13,Данные!$H$5:$H$508,F$4-0+0)</f>
        <v>9909624</v>
      </c>
      <c r="G13" s="21" t="n">
        <f aca="false">SUMIFS(Данные!$D$5:$D$508,Данные!$B$5:$B$508,$A13,Данные!$H$5:$H$508,G$4-0+0)</f>
        <v>1293219</v>
      </c>
      <c r="H13" s="22" t="n">
        <f aca="false">SUM(B13:G13)</f>
        <v>41034630</v>
      </c>
      <c r="I13" s="23" t="n">
        <f aca="false">H13/H$23</f>
        <v>0.00826917766430693</v>
      </c>
    </row>
    <row r="14" customFormat="false" ht="15" hidden="false" customHeight="false" outlineLevel="0" collapsed="false">
      <c r="A14" s="12" t="s">
        <v>34</v>
      </c>
      <c r="B14" s="21" t="n">
        <f aca="false">SUMIFS(Данные!$D$5:$D$508,Данные!$B$5:$B$508,$A14,Данные!$H$5:$H$508,B$4-0+0)</f>
        <v>6961020</v>
      </c>
      <c r="C14" s="22" t="n">
        <f aca="false">SUMIFS(Данные!$D$5:$D$508,Данные!$B$5:$B$508,$A14,Данные!$H$5:$H$508,C$4-0+0)</f>
        <v>8778597</v>
      </c>
      <c r="D14" s="22" t="n">
        <f aca="false">SUMIFS(Данные!$D$5:$D$508,Данные!$B$5:$B$508,$A14,Данные!$H$5:$H$508,D$4-0+0)</f>
        <v>9036316.5</v>
      </c>
      <c r="E14" s="22" t="n">
        <f aca="false">SUMIFS(Данные!$D$5:$D$508,Данные!$B$5:$B$508,$A14,Данные!$H$5:$H$508,E$4-0+0)</f>
        <v>10598445</v>
      </c>
      <c r="F14" s="22" t="n">
        <f aca="false">SUMIFS(Данные!$D$5:$D$508,Данные!$B$5:$B$508,$A14,Данные!$H$5:$H$508,F$4-0+0)</f>
        <v>11902053</v>
      </c>
      <c r="G14" s="21" t="n">
        <f aca="false">SUMIFS(Данные!$D$5:$D$508,Данные!$B$5:$B$508,$A14,Данные!$H$5:$H$508,G$4-0+0)</f>
        <v>1526608.5</v>
      </c>
      <c r="H14" s="22" t="n">
        <f aca="false">SUM(B14:G14)</f>
        <v>48803040</v>
      </c>
      <c r="I14" s="23" t="n">
        <f aca="false">H14/H$23</f>
        <v>0.00983464474562772</v>
      </c>
    </row>
    <row r="15" customFormat="false" ht="15" hidden="false" customHeight="false" outlineLevel="0" collapsed="false">
      <c r="A15" s="12" t="s">
        <v>38</v>
      </c>
      <c r="B15" s="21" t="n">
        <f aca="false">SUMIFS(Данные!$D$5:$D$508,Данные!$B$5:$B$508,$A15,Данные!$H$5:$H$508,B$4-0+0)</f>
        <v>2008809</v>
      </c>
      <c r="C15" s="22" t="n">
        <f aca="false">SUMIFS(Данные!$D$5:$D$508,Данные!$B$5:$B$508,$A15,Данные!$H$5:$H$508,C$4-0+0)</f>
        <v>5892277.5</v>
      </c>
      <c r="D15" s="22" t="n">
        <f aca="false">SUMIFS(Данные!$D$5:$D$508,Данные!$B$5:$B$508,$A15,Данные!$H$5:$H$508,D$4-0+0)</f>
        <v>7382458.5</v>
      </c>
      <c r="E15" s="22" t="n">
        <f aca="false">SUMIFS(Данные!$D$5:$D$508,Данные!$B$5:$B$508,$A15,Данные!$H$5:$H$508,E$4-0+0)</f>
        <v>8638525.5</v>
      </c>
      <c r="F15" s="22" t="n">
        <f aca="false">SUMIFS(Данные!$D$5:$D$508,Данные!$B$5:$B$508,$A15,Данные!$H$5:$H$508,F$4-0+0)</f>
        <v>9328845</v>
      </c>
      <c r="G15" s="21" t="n">
        <f aca="false">SUMIFS(Данные!$D$5:$D$508,Данные!$B$5:$B$508,$A15,Данные!$H$5:$H$508,G$4-0+0)</f>
        <v>1565632.5</v>
      </c>
      <c r="H15" s="22" t="n">
        <f aca="false">SUM(B15:G15)</f>
        <v>34816548</v>
      </c>
      <c r="I15" s="23" t="n">
        <f aca="false">H15/H$23</f>
        <v>0.00701612811105815</v>
      </c>
    </row>
    <row r="16" customFormat="false" ht="15" hidden="false" customHeight="false" outlineLevel="0" collapsed="false">
      <c r="A16" s="12" t="s">
        <v>40</v>
      </c>
      <c r="B16" s="21" t="n">
        <f aca="false">SUMIFS(Данные!$D$5:$D$508,Данные!$B$5:$B$508,$A16,Данные!$H$5:$H$508,B$4-0+0)</f>
        <v>0</v>
      </c>
      <c r="C16" s="22" t="n">
        <f aca="false">SUMIFS(Данные!$D$5:$D$508,Данные!$B$5:$B$508,$A16,Данные!$H$5:$H$508,C$4-0+0)</f>
        <v>0</v>
      </c>
      <c r="D16" s="22" t="n">
        <f aca="false">SUMIFS(Данные!$D$5:$D$508,Данные!$B$5:$B$508,$A16,Данные!$H$5:$H$508,D$4-0+0)</f>
        <v>0</v>
      </c>
      <c r="E16" s="22" t="n">
        <f aca="false">SUMIFS(Данные!$D$5:$D$508,Данные!$B$5:$B$508,$A16,Данные!$H$5:$H$508,E$4-0+0)</f>
        <v>0</v>
      </c>
      <c r="F16" s="22" t="n">
        <f aca="false">SUMIFS(Данные!$D$5:$D$508,Данные!$B$5:$B$508,$A16,Данные!$H$5:$H$508,F$4-0+0)</f>
        <v>2706253.5</v>
      </c>
      <c r="G16" s="21" t="n">
        <f aca="false">SUMIFS(Данные!$D$5:$D$508,Данные!$B$5:$B$508,$A16,Данные!$H$5:$H$508,G$4-0+0)</f>
        <v>636345</v>
      </c>
      <c r="H16" s="22" t="n">
        <f aca="false">SUM(B16:G16)</f>
        <v>3342598.5</v>
      </c>
      <c r="I16" s="23" t="n">
        <f aca="false">H16/H$23</f>
        <v>0.000673590595478644</v>
      </c>
    </row>
    <row r="17" customFormat="false" ht="15" hidden="false" customHeight="false" outlineLevel="0" collapsed="false">
      <c r="A17" s="12" t="s">
        <v>35</v>
      </c>
      <c r="B17" s="21" t="n">
        <f aca="false">SUMIFS(Данные!$D$5:$D$508,Данные!$B$5:$B$508,$A17,Данные!$H$5:$H$508,B$4-0+0)</f>
        <v>233059077</v>
      </c>
      <c r="C17" s="22" t="n">
        <f aca="false">SUMIFS(Данные!$D$5:$D$508,Данные!$B$5:$B$508,$A17,Данные!$H$5:$H$508,C$4-0+0)</f>
        <v>272762503.5</v>
      </c>
      <c r="D17" s="22" t="n">
        <f aca="false">SUMIFS(Данные!$D$5:$D$508,Данные!$B$5:$B$508,$A17,Данные!$H$5:$H$508,D$4-0+0)</f>
        <v>269949999</v>
      </c>
      <c r="E17" s="22" t="n">
        <f aca="false">SUMIFS(Данные!$D$5:$D$508,Данные!$B$5:$B$508,$A17,Данные!$H$5:$H$508,E$4-0+0)</f>
        <v>275539431.57</v>
      </c>
      <c r="F17" s="22" t="n">
        <f aca="false">SUMIFS(Данные!$D$5:$D$508,Данные!$B$5:$B$508,$A17,Данные!$H$5:$H$508,F$4-0+0)</f>
        <v>292155049.5</v>
      </c>
      <c r="G17" s="21" t="n">
        <f aca="false">SUMIFS(Данные!$D$5:$D$508,Данные!$B$5:$B$508,$A17,Данные!$H$5:$H$508,G$4-0+0)</f>
        <v>37257840.18135</v>
      </c>
      <c r="H17" s="22" t="n">
        <f aca="false">SUM(B17:G17)</f>
        <v>1380723900.75135</v>
      </c>
      <c r="I17" s="23" t="n">
        <f aca="false">H17/H$23</f>
        <v>0.278239409997551</v>
      </c>
    </row>
    <row r="18" customFormat="false" ht="15" hidden="false" customHeight="false" outlineLevel="0" collapsed="false">
      <c r="A18" s="12" t="s">
        <v>36</v>
      </c>
      <c r="B18" s="21" t="n">
        <f aca="false">SUMIFS(Данные!$D$5:$D$508,Данные!$B$5:$B$508,$A18,Данные!$H$5:$H$508,B$4-0+0)</f>
        <v>176269533</v>
      </c>
      <c r="C18" s="22" t="n">
        <f aca="false">SUMIFS(Данные!$D$5:$D$508,Данные!$B$5:$B$508,$A18,Данные!$H$5:$H$508,C$4-0+0)</f>
        <v>208128393.85665</v>
      </c>
      <c r="D18" s="22" t="n">
        <f aca="false">SUMIFS(Данные!$D$5:$D$508,Данные!$B$5:$B$508,$A18,Данные!$H$5:$H$508,D$4-0+0)</f>
        <v>199569624.22395</v>
      </c>
      <c r="E18" s="22" t="n">
        <f aca="false">SUMIFS(Данные!$D$5:$D$508,Данные!$B$5:$B$508,$A18,Данные!$H$5:$H$508,E$4-0+0)</f>
        <v>204608809.4766</v>
      </c>
      <c r="F18" s="22" t="n">
        <f aca="false">SUMIFS(Данные!$D$5:$D$508,Данные!$B$5:$B$508,$A18,Данные!$H$5:$H$508,F$4-0+0)</f>
        <v>219265928.75385</v>
      </c>
      <c r="G18" s="21" t="n">
        <f aca="false">SUMIFS(Данные!$D$5:$D$508,Данные!$B$5:$B$508,$A18,Данные!$H$5:$H$508,G$4-0+0)</f>
        <v>27770092.5</v>
      </c>
      <c r="H18" s="22" t="n">
        <f aca="false">SUM(B18:G18)</f>
        <v>1035612381.81105</v>
      </c>
      <c r="I18" s="23" t="n">
        <f aca="false">H18/H$23</f>
        <v>0.208693554116404</v>
      </c>
    </row>
    <row r="19" customFormat="false" ht="15" hidden="false" customHeight="false" outlineLevel="0" collapsed="false">
      <c r="A19" s="12" t="s">
        <v>37</v>
      </c>
      <c r="B19" s="21" t="n">
        <f aca="false">SUMIFS(Данные!$D$5:$D$508,Данные!$B$5:$B$508,$A19,Данные!$H$5:$H$508,B$4-0+0)</f>
        <v>4531000.5</v>
      </c>
      <c r="C19" s="22" t="n">
        <f aca="false">SUMIFS(Данные!$D$5:$D$508,Данные!$B$5:$B$508,$A19,Данные!$H$5:$H$508,C$4-0+0)</f>
        <v>6093688.5</v>
      </c>
      <c r="D19" s="22" t="n">
        <f aca="false">SUMIFS(Данные!$D$5:$D$508,Данные!$B$5:$B$508,$A19,Данные!$H$5:$H$508,D$4-0+0)</f>
        <v>6439392</v>
      </c>
      <c r="E19" s="22" t="n">
        <f aca="false">SUMIFS(Данные!$D$5:$D$508,Данные!$B$5:$B$508,$A19,Данные!$H$5:$H$508,E$4-0+0)</f>
        <v>7373379</v>
      </c>
      <c r="F19" s="22" t="n">
        <f aca="false">SUMIFS(Данные!$D$5:$D$508,Данные!$B$5:$B$508,$A19,Данные!$H$5:$H$508,F$4-0+0)</f>
        <v>7762362</v>
      </c>
      <c r="G19" s="21" t="n">
        <f aca="false">SUMIFS(Данные!$D$5:$D$508,Данные!$B$5:$B$508,$A19,Данные!$H$5:$H$508,G$4-0+0)</f>
        <v>1007742</v>
      </c>
      <c r="H19" s="22" t="n">
        <f aca="false">SUM(B19:G19)</f>
        <v>33207564</v>
      </c>
      <c r="I19" s="23" t="n">
        <f aca="false">H19/H$23</f>
        <v>0.0066918903987886</v>
      </c>
    </row>
    <row r="20" customFormat="false" ht="15" hidden="false" customHeight="false" outlineLevel="0" collapsed="false">
      <c r="A20" s="12" t="s">
        <v>41</v>
      </c>
      <c r="B20" s="21" t="n">
        <f aca="false">SUMIFS(Данные!$D$5:$D$508,Данные!$B$5:$B$508,$A20,Данные!$H$5:$H$508,B$4-0+0)</f>
        <v>0</v>
      </c>
      <c r="C20" s="22" t="n">
        <f aca="false">SUMIFS(Данные!$D$5:$D$508,Данные!$B$5:$B$508,$A20,Данные!$H$5:$H$508,C$4-0+0)</f>
        <v>0</v>
      </c>
      <c r="D20" s="22" t="n">
        <f aca="false">SUMIFS(Данные!$D$5:$D$508,Данные!$B$5:$B$508,$A20,Данные!$H$5:$H$508,D$4-0+0)</f>
        <v>0</v>
      </c>
      <c r="E20" s="22" t="n">
        <f aca="false">SUMIFS(Данные!$D$5:$D$508,Данные!$B$5:$B$508,$A20,Данные!$H$5:$H$508,E$4-0+0)</f>
        <v>0</v>
      </c>
      <c r="F20" s="22" t="n">
        <f aca="false">SUMIFS(Данные!$D$5:$D$508,Данные!$B$5:$B$508,$A20,Данные!$H$5:$H$508,F$4-0+0)</f>
        <v>493893</v>
      </c>
      <c r="G20" s="21" t="n">
        <f aca="false">SUMIFS(Данные!$D$5:$D$508,Данные!$B$5:$B$508,$A20,Данные!$H$5:$H$508,G$4-0+0)</f>
        <v>389013</v>
      </c>
      <c r="H20" s="22" t="n">
        <f aca="false">SUM(B20:G20)</f>
        <v>882906</v>
      </c>
      <c r="I20" s="23" t="n">
        <f aca="false">H20/H$23</f>
        <v>0.000177920614244178</v>
      </c>
    </row>
    <row r="21" customFormat="false" ht="15" hidden="false" customHeight="false" outlineLevel="0" collapsed="false">
      <c r="A21" s="12" t="s">
        <v>39</v>
      </c>
      <c r="B21" s="21" t="n">
        <f aca="false">SUMIFS(Данные!$D$5:$D$508,Данные!$B$5:$B$508,$A21,Данные!$H$5:$H$508,B$4-0+0)</f>
        <v>0</v>
      </c>
      <c r="C21" s="22" t="n">
        <f aca="false">SUMIFS(Данные!$D$5:$D$508,Данные!$B$5:$B$508,$A21,Данные!$H$5:$H$508,C$4-0+0)</f>
        <v>0</v>
      </c>
      <c r="D21" s="22" t="n">
        <f aca="false">SUMIFS(Данные!$D$5:$D$508,Данные!$B$5:$B$508,$A21,Данные!$H$5:$H$508,D$4-0+0)</f>
        <v>0</v>
      </c>
      <c r="E21" s="22" t="n">
        <f aca="false">SUMIFS(Данные!$D$5:$D$508,Данные!$B$5:$B$508,$A21,Данные!$H$5:$H$508,E$4-0+0)</f>
        <v>0</v>
      </c>
      <c r="F21" s="22" t="n">
        <f aca="false">SUMIFS(Данные!$D$5:$D$508,Данные!$B$5:$B$508,$A21,Данные!$H$5:$H$508,F$4-0+0)</f>
        <v>4861708.5</v>
      </c>
      <c r="G21" s="21" t="n">
        <f aca="false">SUMIFS(Данные!$D$5:$D$508,Данные!$B$5:$B$508,$A21,Данные!$H$5:$H$508,G$4-0+0)</f>
        <v>802447.5</v>
      </c>
      <c r="H21" s="22" t="n">
        <f aca="false">SUM(B21:G21)</f>
        <v>5664156</v>
      </c>
      <c r="I21" s="23" t="n">
        <f aca="false">H21/H$23</f>
        <v>0.00114142401874588</v>
      </c>
    </row>
    <row r="22" customFormat="false" ht="15" hidden="false" customHeight="false" outlineLevel="0" collapsed="false">
      <c r="A22" s="12" t="s">
        <v>42</v>
      </c>
      <c r="B22" s="21" t="n">
        <f aca="false">SUMIFS(Данные!$D$5:$D$508,Данные!$B$5:$B$508,$A22,Данные!$H$5:$H$508,B$4-0+0)</f>
        <v>0</v>
      </c>
      <c r="C22" s="22" t="n">
        <f aca="false">SUMIFS(Данные!$D$5:$D$508,Данные!$B$5:$B$508,$A22,Данные!$H$5:$H$508,C$4-0+0)</f>
        <v>0</v>
      </c>
      <c r="D22" s="22" t="n">
        <f aca="false">SUMIFS(Данные!$D$5:$D$508,Данные!$B$5:$B$508,$A22,Данные!$H$5:$H$508,D$4-0+0)</f>
        <v>0</v>
      </c>
      <c r="E22" s="22" t="n">
        <f aca="false">SUMIFS(Данные!$D$5:$D$508,Данные!$B$5:$B$508,$A22,Данные!$H$5:$H$508,E$4-0+0)</f>
        <v>0</v>
      </c>
      <c r="F22" s="22" t="n">
        <f aca="false">SUMIFS(Данные!$D$5:$D$508,Данные!$B$5:$B$508,$A22,Данные!$H$5:$H$508,F$4-0+0)</f>
        <v>468835.5</v>
      </c>
      <c r="G22" s="21" t="n">
        <f aca="false">SUMIFS(Данные!$D$5:$D$508,Данные!$B$5:$B$508,$A22,Данные!$H$5:$H$508,G$4-0+0)</f>
        <v>410892</v>
      </c>
      <c r="H22" s="22" t="n">
        <f aca="false">SUM(B22:G22)</f>
        <v>879727.5</v>
      </c>
      <c r="I22" s="23" t="n">
        <f aca="false">H22/H$23</f>
        <v>0.000177280092294644</v>
      </c>
    </row>
    <row r="23" customFormat="false" ht="15" hidden="false" customHeight="false" outlineLevel="0" collapsed="false">
      <c r="A23" s="24" t="s">
        <v>73</v>
      </c>
      <c r="B23" s="25" t="n">
        <f aca="false">SUM(B5:B22)</f>
        <v>836803032</v>
      </c>
      <c r="C23" s="26" t="n">
        <f aca="false">SUM(C5:C22)</f>
        <v>983915409.85665</v>
      </c>
      <c r="D23" s="26" t="n">
        <f aca="false">SUM(D5:D22)</f>
        <v>947263006.72395</v>
      </c>
      <c r="E23" s="26" t="n">
        <f aca="false">SUM(E5:E22)</f>
        <v>1002691883.0466</v>
      </c>
      <c r="F23" s="26" t="n">
        <f aca="false">SUM(F5:F22)</f>
        <v>1055653508.75385</v>
      </c>
      <c r="G23" s="25" t="n">
        <f aca="false">SUM(G5:G22)</f>
        <v>136032376.68135</v>
      </c>
      <c r="H23" s="26" t="n">
        <f aca="false">SUM(H5:H22)</f>
        <v>4962359217.0624</v>
      </c>
      <c r="I23" s="27" t="n">
        <v>1</v>
      </c>
    </row>
  </sheetData>
  <conditionalFormatting sqref="C5:F22">
    <cfRule type="colorScale" priority="2">
      <colorScale>
        <cfvo type="min" val="0"/>
        <cfvo type="max" val="0"/>
        <color rgb="FFFFFFFF"/>
        <color rgb="FF8EA9DB"/>
      </colorScale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6" t="s">
        <v>75</v>
      </c>
    </row>
    <row r="3" customFormat="false" ht="15" hidden="false" customHeight="false" outlineLevel="0" collapsed="false">
      <c r="A3" s="3" t="s">
        <v>76</v>
      </c>
    </row>
    <row r="4" customFormat="false" ht="15" hidden="false" customHeight="false" outlineLevel="0" collapsed="false">
      <c r="A4" s="7" t="s">
        <v>77</v>
      </c>
      <c r="B4" s="7" t="s">
        <v>15</v>
      </c>
      <c r="C4" s="7" t="s">
        <v>17</v>
      </c>
      <c r="D4" s="7" t="s">
        <v>74</v>
      </c>
      <c r="E4" s="7" t="s">
        <v>78</v>
      </c>
    </row>
    <row r="5" customFormat="false" ht="15" hidden="false" customHeight="false" outlineLevel="0" collapsed="false">
      <c r="A5" s="24" t="n">
        <v>1</v>
      </c>
      <c r="B5" s="24" t="s">
        <v>35</v>
      </c>
      <c r="C5" s="26" t="n">
        <f aca="false">SUMIFS(Данные!$D$5:$D$508,Данные!$B$5:$B$508,B5)</f>
        <v>1380723900.75135</v>
      </c>
      <c r="D5" s="28" t="n">
        <f aca="false">C5/SUM(Данные!$D$5:$D$508)</f>
        <v>0.278239409997551</v>
      </c>
      <c r="E5" s="28" t="n">
        <f aca="false">D5</f>
        <v>0.278239409997551</v>
      </c>
    </row>
    <row r="6" customFormat="false" ht="15" hidden="false" customHeight="false" outlineLevel="0" collapsed="false">
      <c r="A6" s="24" t="n">
        <v>2</v>
      </c>
      <c r="B6" s="24" t="s">
        <v>36</v>
      </c>
      <c r="C6" s="26" t="n">
        <f aca="false">SUMIFS(Данные!$D$5:$D$508,Данные!$B$5:$B$508,B6)</f>
        <v>1035612381.81105</v>
      </c>
      <c r="D6" s="28" t="n">
        <f aca="false">C6/SUM(Данные!$D$5:$D$508)</f>
        <v>0.208693554116404</v>
      </c>
      <c r="E6" s="28" t="n">
        <f aca="false">SUM($C$5:C6)/SUM(Данные!$D$5:$D$508)</f>
        <v>0.486932964113955</v>
      </c>
    </row>
    <row r="7" customFormat="false" ht="15" hidden="false" customHeight="false" outlineLevel="0" collapsed="false">
      <c r="A7" s="24" t="n">
        <v>3</v>
      </c>
      <c r="B7" s="24" t="s">
        <v>31</v>
      </c>
      <c r="C7" s="26" t="n">
        <f aca="false">SUMIFS(Данные!$D$5:$D$508,Данные!$B$5:$B$508,B7)</f>
        <v>774146953.5</v>
      </c>
      <c r="D7" s="28" t="n">
        <f aca="false">C7/SUM(Данные!$D$5:$D$508)</f>
        <v>0.156003811823659</v>
      </c>
      <c r="E7" s="28" t="n">
        <f aca="false">SUM($C$5:C7)/SUM(Данные!$D$5:$D$508)</f>
        <v>0.642936775937614</v>
      </c>
    </row>
    <row r="8" customFormat="false" ht="15" hidden="false" customHeight="false" outlineLevel="0" collapsed="false">
      <c r="A8" s="12" t="n">
        <v>4</v>
      </c>
      <c r="B8" s="12" t="s">
        <v>30</v>
      </c>
      <c r="C8" s="29" t="n">
        <f aca="false">SUMIFS(Данные!$D$5:$D$508,Данные!$B$5:$B$508,B8)</f>
        <v>738124428</v>
      </c>
      <c r="D8" s="30" t="n">
        <f aca="false">C8/SUM(Данные!$D$5:$D$508)</f>
        <v>0.148744658682116</v>
      </c>
      <c r="E8" s="30" t="n">
        <f aca="false">SUM($C$5:C8)/SUM(Данные!$D$5:$D$508)</f>
        <v>0.79168143461973</v>
      </c>
    </row>
    <row r="9" customFormat="false" ht="15" hidden="false" customHeight="false" outlineLevel="0" collapsed="false">
      <c r="A9" s="12" t="n">
        <v>5</v>
      </c>
      <c r="B9" s="12" t="s">
        <v>26</v>
      </c>
      <c r="C9" s="29" t="n">
        <f aca="false">SUMIFS(Данные!$D$5:$D$508,Данные!$B$5:$B$508,B9)</f>
        <v>243409003.5</v>
      </c>
      <c r="D9" s="30" t="n">
        <f aca="false">C9/SUM(Данные!$D$5:$D$508)</f>
        <v>0.0490510647965732</v>
      </c>
      <c r="E9" s="30" t="n">
        <f aca="false">SUM($C$5:C9)/SUM(Данные!$D$5:$D$508)</f>
        <v>0.840732499416303</v>
      </c>
    </row>
    <row r="11" customFormat="false" ht="15" hidden="false" customHeight="false" outlineLevel="0" collapsed="false">
      <c r="A11" s="2" t="s">
        <v>79</v>
      </c>
    </row>
    <row r="14" customFormat="false" ht="15" hidden="false" customHeight="false" outlineLevel="0" collapsed="false">
      <c r="A14" s="3" t="s">
        <v>80</v>
      </c>
    </row>
    <row r="15" customFormat="false" ht="15" hidden="false" customHeight="false" outlineLevel="0" collapsed="false">
      <c r="A15" s="7" t="s">
        <v>77</v>
      </c>
      <c r="B15" s="7" t="s">
        <v>15</v>
      </c>
      <c r="C15" s="7" t="s">
        <v>17</v>
      </c>
      <c r="D15" s="7" t="s">
        <v>81</v>
      </c>
      <c r="E15" s="7" t="s">
        <v>82</v>
      </c>
    </row>
    <row r="16" customFormat="false" ht="15" hidden="false" customHeight="false" outlineLevel="0" collapsed="false">
      <c r="A16" s="24" t="n">
        <v>1</v>
      </c>
      <c r="B16" s="24" t="s">
        <v>30</v>
      </c>
      <c r="C16" s="26" t="n">
        <f aca="false">SUMIFS(Данные!$D$5:$D$508,Данные!$B$5:$B$508,B16,Данные!$H$5:$H$508,22)</f>
        <v>151451013</v>
      </c>
      <c r="D16" s="31" t="n">
        <f aca="false">AVERAGEIFS(Данные!$E$5:$E$508,Данные!$B$5:$B$508,B16,Данные!$H$5:$H$508,22)</f>
        <v>54</v>
      </c>
      <c r="E16" s="26" t="n">
        <f aca="false">IFERROR(C16/D16,"")</f>
        <v>2804648.38888889</v>
      </c>
    </row>
    <row r="17" customFormat="false" ht="15" hidden="false" customHeight="false" outlineLevel="0" collapsed="false">
      <c r="A17" s="24" t="n">
        <v>2</v>
      </c>
      <c r="B17" s="24" t="s">
        <v>31</v>
      </c>
      <c r="C17" s="26" t="n">
        <f aca="false">SUMIFS(Данные!$D$5:$D$508,Данные!$B$5:$B$508,B17,Данные!$H$5:$H$508,22)</f>
        <v>157857214.5</v>
      </c>
      <c r="D17" s="31" t="n">
        <f aca="false">AVERAGEIFS(Данные!$E$5:$E$508,Данные!$B$5:$B$508,B17,Данные!$H$5:$H$508,22)</f>
        <v>59.1428571428571</v>
      </c>
      <c r="E17" s="26" t="n">
        <f aca="false">IFERROR(C17/D17,"")</f>
        <v>2669083.33695652</v>
      </c>
    </row>
    <row r="18" customFormat="false" ht="15" hidden="false" customHeight="false" outlineLevel="0" collapsed="false">
      <c r="A18" s="24" t="n">
        <v>3</v>
      </c>
      <c r="B18" s="24" t="s">
        <v>35</v>
      </c>
      <c r="C18" s="26" t="n">
        <f aca="false">SUMIFS(Данные!$D$5:$D$508,Данные!$B$5:$B$508,B18,Данные!$H$5:$H$508,22)</f>
        <v>292155049.5</v>
      </c>
      <c r="D18" s="31" t="n">
        <f aca="false">AVERAGEIFS(Данные!$E$5:$E$508,Данные!$B$5:$B$508,B18,Данные!$H$5:$H$508,22)</f>
        <v>124</v>
      </c>
      <c r="E18" s="26" t="n">
        <f aca="false">IFERROR(C18/D18,"")</f>
        <v>2356089.10887097</v>
      </c>
    </row>
    <row r="19" customFormat="false" ht="15" hidden="false" customHeight="false" outlineLevel="0" collapsed="false">
      <c r="A19" s="12" t="n">
        <v>4</v>
      </c>
      <c r="B19" s="12" t="s">
        <v>36</v>
      </c>
      <c r="C19" s="29" t="n">
        <f aca="false">SUMIFS(Данные!$D$5:$D$508,Данные!$B$5:$B$508,B19,Данные!$H$5:$H$508,22)</f>
        <v>219265928.75385</v>
      </c>
      <c r="D19" s="32" t="n">
        <f aca="false">AVERAGEIFS(Данные!$E$5:$E$508,Данные!$B$5:$B$508,B19,Данные!$H$5:$H$508,22)</f>
        <v>129</v>
      </c>
      <c r="E19" s="29" t="n">
        <f aca="false">IFERROR(C19/D19,"")</f>
        <v>1699735.88181279</v>
      </c>
    </row>
    <row r="20" customFormat="false" ht="15" hidden="false" customHeight="false" outlineLevel="0" collapsed="false">
      <c r="A20" s="12" t="n">
        <v>5</v>
      </c>
      <c r="B20" s="12" t="s">
        <v>26</v>
      </c>
      <c r="C20" s="29" t="n">
        <f aca="false">SUMIFS(Данные!$D$5:$D$508,Данные!$B$5:$B$508,B20,Данные!$H$5:$H$508,22)</f>
        <v>50729185.5</v>
      </c>
      <c r="D20" s="32" t="n">
        <f aca="false">AVERAGEIFS(Данные!$E$5:$E$508,Данные!$B$5:$B$508,B20,Данные!$H$5:$H$508,22)</f>
        <v>31</v>
      </c>
      <c r="E20" s="29" t="n">
        <f aca="false">IFERROR(C20/D20,"")</f>
        <v>1636425.33870968</v>
      </c>
    </row>
    <row r="22" customFormat="false" ht="15" hidden="false" customHeight="false" outlineLevel="0" collapsed="false">
      <c r="A22" s="2" t="s">
        <v>83</v>
      </c>
    </row>
    <row r="25" customFormat="false" ht="15" hidden="false" customHeight="false" outlineLevel="0" collapsed="false">
      <c r="A25" s="3" t="s">
        <v>84</v>
      </c>
    </row>
    <row r="26" customFormat="false" ht="15" hidden="false" customHeight="false" outlineLevel="0" collapsed="false">
      <c r="A26" s="7" t="s">
        <v>77</v>
      </c>
      <c r="B26" s="7" t="s">
        <v>15</v>
      </c>
      <c r="C26" s="7" t="s">
        <v>82</v>
      </c>
    </row>
    <row r="27" customFormat="false" ht="15" hidden="false" customHeight="false" outlineLevel="0" collapsed="false">
      <c r="A27" s="12" t="n">
        <v>1</v>
      </c>
      <c r="B27" s="12" t="s">
        <v>30</v>
      </c>
      <c r="C27" s="29" t="n">
        <f aca="false">IFERROR(SUMIFS(Данные!$D$5:$D$508,Данные!$B$5:$B$508,B27,Данные!$H$5:$H$508,23)/AVERAGEIFS(Данные!$E$5:$E$508,Данные!$B$5:$B$508,B27,Данные!$H$5:$H$508,23),"")</f>
        <v>350262.861111111</v>
      </c>
    </row>
    <row r="28" customFormat="false" ht="15" hidden="false" customHeight="false" outlineLevel="0" collapsed="false">
      <c r="A28" s="12" t="n">
        <v>2</v>
      </c>
      <c r="B28" s="12" t="s">
        <v>31</v>
      </c>
      <c r="C28" s="29" t="n">
        <f aca="false">IFERROR(SUMIFS(Данные!$D$5:$D$508,Данные!$B$5:$B$508,B28,Данные!$H$5:$H$508,23)/AVERAGEIFS(Данные!$E$5:$E$508,Данные!$B$5:$B$508,B28,Данные!$H$5:$H$508,23),"")</f>
        <v>329921.56779661</v>
      </c>
    </row>
    <row r="29" customFormat="false" ht="15" hidden="false" customHeight="false" outlineLevel="0" collapsed="false">
      <c r="A29" s="12" t="n">
        <v>3</v>
      </c>
      <c r="B29" s="12" t="s">
        <v>35</v>
      </c>
      <c r="C29" s="29" t="n">
        <f aca="false">IFERROR(SUMIFS(Данные!$D$5:$D$508,Данные!$B$5:$B$508,B29,Данные!$H$5:$H$508,23)/AVERAGEIFS(Данные!$E$5:$E$508,Данные!$B$5:$B$508,B29,Данные!$H$5:$H$508,23),"")</f>
        <v>302909.269767073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20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6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7" t="s">
        <v>21</v>
      </c>
      <c r="B4" s="7" t="s">
        <v>17</v>
      </c>
      <c r="C4" s="7" t="s">
        <v>81</v>
      </c>
      <c r="D4" s="7" t="s">
        <v>82</v>
      </c>
      <c r="E4" s="7" t="s">
        <v>87</v>
      </c>
      <c r="F4" s="7" t="s">
        <v>88</v>
      </c>
    </row>
    <row r="5" customFormat="false" ht="15" hidden="false" customHeight="false" outlineLevel="0" collapsed="false">
      <c r="A5" s="33" t="n">
        <v>18</v>
      </c>
      <c r="B5" s="34" t="n">
        <f aca="false">SUMPRODUCT(SUMIFS(Данные!$D$5:$D$508,Данные!$B$5:$B$508,{"Волгоград";"Екатеринбург";"Казань";"Кемерово";"Краснодар";"Москва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Юг";"Тольятти"},Данные!$H$5:$H$508,A5))</f>
        <v>834794223</v>
      </c>
      <c r="C5" s="35" t="n">
        <f aca="false">SUMPRODUCT(SUMIFS(Данные!$E$5:$E$508,Данные!$B$5:$B$508,{"Волгоград";"Екатеринбург";"Казань";"Кемерово";"Краснодар";"Москва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Юг";"Тольятти"},Данные!$H$5:$H$508,A5))/E5</f>
        <v>549</v>
      </c>
      <c r="D5" s="34" t="n">
        <f aca="false">IFERROR(B5/C5,"")</f>
        <v>1520572.35519126</v>
      </c>
      <c r="E5" s="33" t="n">
        <v>6</v>
      </c>
      <c r="F5" s="34" t="n">
        <f aca="false">IFERROR(B5/E5,"")</f>
        <v>139132370.5</v>
      </c>
    </row>
    <row r="6" customFormat="false" ht="15" hidden="false" customHeight="false" outlineLevel="0" collapsed="false">
      <c r="A6" s="12" t="n">
        <v>19</v>
      </c>
      <c r="B6" s="29" t="n">
        <f aca="false">SUMPRODUCT(SUMIFS(Данные!$D$5:$D$508,Данные!$B$5:$B$508,{"Волгоград";"Екатеринбург";"Казань";"Кемерово";"Краснодар";"Москва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Юг";"Тольятти"},Данные!$H$5:$H$508,A6))</f>
        <v>978023132.35665</v>
      </c>
      <c r="C6" s="32" t="n">
        <f aca="false">SUMPRODUCT(SUMIFS(Данные!$E$5:$E$508,Данные!$B$5:$B$508,{"Волгоград";"Екатеринбург";"Казань";"Кемерово";"Краснодар";"Москва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Юг";"Тольятти"},Данные!$H$5:$H$508,A6))/E6</f>
        <v>553.142857142857</v>
      </c>
      <c r="D6" s="29" t="n">
        <f aca="false">IFERROR(B6/C6,"")</f>
        <v>1768120.33225634</v>
      </c>
      <c r="E6" s="12" t="n">
        <v>7</v>
      </c>
      <c r="F6" s="29" t="n">
        <f aca="false">IFERROR(B6/E6,"")</f>
        <v>139717590.336664</v>
      </c>
    </row>
    <row r="7" customFormat="false" ht="15" hidden="false" customHeight="false" outlineLevel="0" collapsed="false">
      <c r="A7" s="12" t="n">
        <v>20</v>
      </c>
      <c r="B7" s="29" t="n">
        <f aca="false">SUMPRODUCT(SUMIFS(Данные!$D$5:$D$508,Данные!$B$5:$B$508,{"Волгоград";"Екатеринбург";"Казань";"Кемерово";"Краснодар";"Москва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Юг";"Тольятти"},Данные!$H$5:$H$508,A7))</f>
        <v>939880548.22395</v>
      </c>
      <c r="C7" s="32" t="n">
        <f aca="false">SUMPRODUCT(SUMIFS(Данные!$E$5:$E$508,Данные!$B$5:$B$508,{"Волгоград";"Екатеринбург";"Казань";"Кемерово";"Краснодар";"Москва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Юг";"Тольятти"},Данные!$H$5:$H$508,A7))/E7</f>
        <v>555.571428571429</v>
      </c>
      <c r="D7" s="29" t="n">
        <f aca="false">IFERROR(B7/C7,"")</f>
        <v>1691736.65147021</v>
      </c>
      <c r="E7" s="12" t="n">
        <v>7</v>
      </c>
      <c r="F7" s="29" t="n">
        <f aca="false">IFERROR(B7/E7,"")</f>
        <v>134268649.746279</v>
      </c>
    </row>
    <row r="8" customFormat="false" ht="15" hidden="false" customHeight="false" outlineLevel="0" collapsed="false">
      <c r="A8" s="12" t="n">
        <v>21</v>
      </c>
      <c r="B8" s="29" t="n">
        <f aca="false">SUMPRODUCT(SUMIFS(Данные!$D$5:$D$508,Данные!$B$5:$B$508,{"Волгоград";"Екатеринбург";"Казань";"Кемерово";"Краснодар";"Москва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Юг";"Тольятти"},Данные!$H$5:$H$508,A8))</f>
        <v>994053357.5466</v>
      </c>
      <c r="C8" s="32" t="n">
        <f aca="false">SUMPRODUCT(SUMIFS(Данные!$E$5:$E$508,Данные!$B$5:$B$508,{"Волгоград";"Екатеринбург";"Казань";"Кемерово";"Краснодар";"Москва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Юг";"Тольятти"},Данные!$H$5:$H$508,A8))/E8</f>
        <v>559.285714285714</v>
      </c>
      <c r="D8" s="29" t="n">
        <f aca="false">IFERROR(B8/C8,"")</f>
        <v>1777362.32511525</v>
      </c>
      <c r="E8" s="12" t="n">
        <v>7</v>
      </c>
      <c r="F8" s="29" t="n">
        <f aca="false">IFERROR(B8/E8,"")</f>
        <v>142007622.506657</v>
      </c>
    </row>
    <row r="9" customFormat="false" ht="15" hidden="false" customHeight="false" outlineLevel="0" collapsed="false">
      <c r="A9" s="12" t="n">
        <v>22</v>
      </c>
      <c r="B9" s="29" t="n">
        <f aca="false">SUMPRODUCT(SUMIFS(Данные!$D$5:$D$508,Данные!$B$5:$B$508,{"Волгоград";"Екатеринбург";"Казань";"Кемерово";"Краснодар";"Москва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Юг";"Тольятти"},Данные!$H$5:$H$508,A9))</f>
        <v>1037793973.25385</v>
      </c>
      <c r="C9" s="32" t="n">
        <f aca="false">SUMPRODUCT(SUMIFS(Данные!$E$5:$E$508,Данные!$B$5:$B$508,{"Волгоград";"Екатеринбург";"Казань";"Кемерово";"Краснодар";"Москва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Юг";"Тольятти"},Данные!$H$5:$H$508,A9))/E9</f>
        <v>560.714285714286</v>
      </c>
      <c r="D9" s="29" t="n">
        <f aca="false">IFERROR(B9/C9,"")</f>
        <v>1850842.75484763</v>
      </c>
      <c r="E9" s="12" t="n">
        <v>7</v>
      </c>
      <c r="F9" s="29" t="n">
        <f aca="false">IFERROR(B9/E9,"")</f>
        <v>148256281.893407</v>
      </c>
    </row>
    <row r="10" customFormat="false" ht="15" hidden="false" customHeight="false" outlineLevel="0" collapsed="false">
      <c r="A10" s="33" t="n">
        <v>23</v>
      </c>
      <c r="B10" s="34" t="n">
        <f aca="false">SUMPRODUCT(SUMIFS(Данные!$D$5:$D$508,Данные!$B$5:$B$508,{"Волгоград";"Екатеринбург";"Казань";"Кемерово";"Краснодар";"Москва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Юг";"Тольятти"},Данные!$H$5:$H$508,A10))</f>
        <v>132228046.68135</v>
      </c>
      <c r="C10" s="35" t="n">
        <f aca="false">SUMPRODUCT(SUMIFS(Данные!$E$5:$E$508,Данные!$B$5:$B$508,{"Волгоград";"Екатеринбург";"Казань";"Кемерово";"Краснодар";"Москва Восток";"Москва Запад";"Нижний Новгород";"Новосибирск";"Пермь";"Санкт-Петербург Север";"Санкт-Петербург Юг";"Тольятти"},Данные!$H$5:$H$508,A10))/E10</f>
        <v>562</v>
      </c>
      <c r="D10" s="34" t="n">
        <f aca="false">IFERROR(B10/C10,"")</f>
        <v>235281.221852936</v>
      </c>
      <c r="E10" s="33" t="n">
        <v>1</v>
      </c>
      <c r="F10" s="34" t="n">
        <f aca="false">IFERROR(B10/E10,"")</f>
        <v>132228046.68135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6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7" t="s">
        <v>15</v>
      </c>
      <c r="B4" s="7" t="s">
        <v>17</v>
      </c>
      <c r="C4" s="7" t="s">
        <v>91</v>
      </c>
      <c r="D4" s="7" t="s">
        <v>82</v>
      </c>
      <c r="E4" s="7" t="s">
        <v>92</v>
      </c>
      <c r="F4" s="7" t="s">
        <v>24</v>
      </c>
      <c r="G4" s="7" t="s">
        <v>93</v>
      </c>
    </row>
    <row r="5" customFormat="false" ht="15" hidden="false" customHeight="false" outlineLevel="0" collapsed="false">
      <c r="A5" s="12" t="s">
        <v>30</v>
      </c>
      <c r="B5" s="29" t="n">
        <f aca="false">SUMIFS(Данные!$D$5:$D$508,Данные!$B$5:$B$508,A5,Данные!$H$5:$H$508,"&gt;=19",Данные!$H$5:$H$508,"&lt;=22")</f>
        <v>588496588.5</v>
      </c>
      <c r="C5" s="32" t="n">
        <f aca="false">AVERAGEIFS(Данные!$E$5:$E$508,Данные!$B$5:$B$508,A5,Данные!$H$5:$H$508,"&gt;=19",Данные!$H$5:$H$508,"&lt;=22")</f>
        <v>54</v>
      </c>
      <c r="D5" s="29" t="n">
        <f aca="false">IFERROR(B5/C5,"")</f>
        <v>10898084.9722222</v>
      </c>
      <c r="E5" s="29" t="n">
        <f aca="false">SUMIFS(Данные!$F$5:$F$508,Данные!$B$5:$B$508,A5,Данные!$H$5:$H$508,"&gt;=19",Данные!$H$5:$H$508,"&lt;=22")</f>
        <v>360313</v>
      </c>
      <c r="F5" s="29" t="n">
        <f aca="false">IFERROR(B5/E5,"")</f>
        <v>1633.2926885791</v>
      </c>
      <c r="G5" s="36" t="n">
        <f aca="false">B5/SUM($B$5:$B$17)</f>
        <v>0.148995870069853</v>
      </c>
    </row>
    <row r="6" customFormat="false" ht="15" hidden="false" customHeight="false" outlineLevel="0" collapsed="false">
      <c r="A6" s="12" t="s">
        <v>31</v>
      </c>
      <c r="B6" s="29" t="n">
        <f aca="false">SUMIFS(Данные!$D$5:$D$508,Данные!$B$5:$B$508,A6,Данные!$H$5:$H$508,"&gt;=19",Данные!$H$5:$H$508,"&lt;=22")</f>
        <v>617890356</v>
      </c>
      <c r="C6" s="32" t="n">
        <f aca="false">AVERAGEIFS(Данные!$E$5:$E$508,Данные!$B$5:$B$508,A6,Данные!$H$5:$H$508,"&gt;=19",Данные!$H$5:$H$508,"&lt;=22")</f>
        <v>59.5357142857143</v>
      </c>
      <c r="D6" s="29" t="n">
        <f aca="false">IFERROR(B6/C6,"")</f>
        <v>10378482.2843431</v>
      </c>
      <c r="E6" s="29" t="n">
        <f aca="false">SUMIFS(Данные!$F$5:$F$508,Данные!$B$5:$B$508,A6,Данные!$H$5:$H$508,"&gt;=19",Данные!$H$5:$H$508,"&lt;=22")</f>
        <v>379166</v>
      </c>
      <c r="F6" s="29" t="n">
        <f aca="false">IFERROR(B6/E6,"")</f>
        <v>1629.60380413856</v>
      </c>
      <c r="G6" s="36" t="n">
        <f aca="false">B6/SUM($B$5:$B$17)</f>
        <v>0.156437799299139</v>
      </c>
    </row>
    <row r="7" customFormat="false" ht="15" hidden="false" customHeight="false" outlineLevel="0" collapsed="false">
      <c r="A7" s="12" t="s">
        <v>35</v>
      </c>
      <c r="B7" s="29" t="n">
        <f aca="false">SUMIFS(Данные!$D$5:$D$508,Данные!$B$5:$B$508,A7,Данные!$H$5:$H$508,"&gt;=19",Данные!$H$5:$H$508,"&lt;=22")</f>
        <v>1110406983.57</v>
      </c>
      <c r="C7" s="32" t="n">
        <f aca="false">AVERAGEIFS(Данные!$E$5:$E$508,Данные!$B$5:$B$508,A7,Данные!$H$5:$H$508,"&gt;=19",Данные!$H$5:$H$508,"&lt;=22")</f>
        <v>124.75</v>
      </c>
      <c r="D7" s="29" t="n">
        <f aca="false">IFERROR(B7/C7,"")</f>
        <v>8901057.98452906</v>
      </c>
      <c r="E7" s="29" t="n">
        <f aca="false">SUMIFS(Данные!$F$5:$F$508,Данные!$B$5:$B$508,A7,Данные!$H$5:$H$508,"&gt;=19",Данные!$H$5:$H$508,"&lt;=22")</f>
        <v>592525</v>
      </c>
      <c r="F7" s="29" t="n">
        <f aca="false">IFERROR(B7/E7,"")</f>
        <v>1874.02554081262</v>
      </c>
      <c r="G7" s="36" t="n">
        <f aca="false">B7/SUM($B$5:$B$17)</f>
        <v>0.281133413314006</v>
      </c>
    </row>
    <row r="8" customFormat="false" ht="15" hidden="false" customHeight="false" outlineLevel="0" collapsed="false">
      <c r="A8" s="12" t="s">
        <v>36</v>
      </c>
      <c r="B8" s="29" t="n">
        <f aca="false">SUMIFS(Данные!$D$5:$D$508,Данные!$B$5:$B$508,A8,Данные!$H$5:$H$508,"&gt;=19",Данные!$H$5:$H$508,"&lt;=22")</f>
        <v>831572756.31105</v>
      </c>
      <c r="C8" s="32" t="n">
        <f aca="false">AVERAGEIFS(Данные!$E$5:$E$508,Данные!$B$5:$B$508,A8,Данные!$H$5:$H$508,"&gt;=19",Данные!$H$5:$H$508,"&lt;=22")</f>
        <v>129</v>
      </c>
      <c r="D8" s="29" t="n">
        <f aca="false">IFERROR(B8/C8,"")</f>
        <v>6446300.43651977</v>
      </c>
      <c r="E8" s="29" t="n">
        <f aca="false">SUMIFS(Данные!$F$5:$F$508,Данные!$B$5:$B$508,A8,Данные!$H$5:$H$508,"&gt;=19",Данные!$H$5:$H$508,"&lt;=22")</f>
        <v>474336</v>
      </c>
      <c r="F8" s="29" t="n">
        <f aca="false">IFERROR(B8/E8,"")</f>
        <v>1753.13017842004</v>
      </c>
      <c r="G8" s="36" t="n">
        <f aca="false">B8/SUM($B$5:$B$17)</f>
        <v>0.210538019716915</v>
      </c>
    </row>
    <row r="9" customFormat="false" ht="15" hidden="false" customHeight="false" outlineLevel="0" collapsed="false">
      <c r="A9" s="12" t="s">
        <v>26</v>
      </c>
      <c r="B9" s="29" t="n">
        <f aca="false">SUMIFS(Данные!$D$5:$D$508,Данные!$B$5:$B$508,A9,Данные!$H$5:$H$508,"&gt;=19",Данные!$H$5:$H$508,"&lt;=22")</f>
        <v>193750324.5</v>
      </c>
      <c r="C9" s="32" t="n">
        <f aca="false">AVERAGEIFS(Данные!$E$5:$E$508,Данные!$B$5:$B$508,A9,Данные!$H$5:$H$508,"&gt;=19",Данные!$H$5:$H$508,"&lt;=22")</f>
        <v>31</v>
      </c>
      <c r="D9" s="29" t="n">
        <f aca="false">IFERROR(B9/C9,"")</f>
        <v>6250010.46774194</v>
      </c>
      <c r="E9" s="29" t="n">
        <f aca="false">SUMIFS(Данные!$F$5:$F$508,Данные!$B$5:$B$508,A9,Данные!$H$5:$H$508,"&gt;=19",Данные!$H$5:$H$508,"&lt;=22")</f>
        <v>148378</v>
      </c>
      <c r="F9" s="29" t="n">
        <f aca="false">IFERROR(B9/E9,"")</f>
        <v>1305.78875911523</v>
      </c>
      <c r="G9" s="36" t="n">
        <f aca="false">B9/SUM($B$5:$B$17)</f>
        <v>0.0490538071746083</v>
      </c>
    </row>
    <row r="10" customFormat="false" ht="15" hidden="false" customHeight="false" outlineLevel="0" collapsed="false">
      <c r="A10" s="12" t="s">
        <v>25</v>
      </c>
      <c r="B10" s="29" t="n">
        <f aca="false">SUMIFS(Данные!$D$5:$D$508,Данные!$B$5:$B$508,A10,Данные!$H$5:$H$508,"&gt;=19",Данные!$H$5:$H$508,"&lt;=22")</f>
        <v>175265742</v>
      </c>
      <c r="C10" s="32" t="n">
        <f aca="false">AVERAGEIFS(Данные!$E$5:$E$508,Данные!$B$5:$B$508,A10,Данные!$H$5:$H$508,"&gt;=19",Данные!$H$5:$H$508,"&lt;=22")</f>
        <v>36.1428571428571</v>
      </c>
      <c r="D10" s="29" t="n">
        <f aca="false">IFERROR(B10/C10,"")</f>
        <v>4849249.77865613</v>
      </c>
      <c r="E10" s="29" t="n">
        <f aca="false">SUMIFS(Данные!$F$5:$F$508,Данные!$B$5:$B$508,A10,Данные!$H$5:$H$508,"&gt;=19",Данные!$H$5:$H$508,"&lt;=22")</f>
        <v>139403</v>
      </c>
      <c r="F10" s="29" t="n">
        <f aca="false">IFERROR(B10/E10,"")</f>
        <v>1257.2594707431</v>
      </c>
      <c r="G10" s="36" t="n">
        <f aca="false">B10/SUM($B$5:$B$17)</f>
        <v>0.0443738710351561</v>
      </c>
    </row>
    <row r="11" customFormat="false" ht="15" hidden="false" customHeight="false" outlineLevel="0" collapsed="false">
      <c r="A11" s="12" t="s">
        <v>27</v>
      </c>
      <c r="B11" s="29" t="n">
        <f aca="false">SUMIFS(Данные!$D$5:$D$508,Данные!$B$5:$B$508,A11,Данные!$H$5:$H$508,"&gt;=19",Данные!$H$5:$H$508,"&lt;=22")</f>
        <v>98889370.5</v>
      </c>
      <c r="C11" s="32" t="n">
        <f aca="false">AVERAGEIFS(Данные!$E$5:$E$508,Данные!$B$5:$B$508,A11,Данные!$H$5:$H$508,"&gt;=19",Данные!$H$5:$H$508,"&lt;=22")</f>
        <v>21.0714285714286</v>
      </c>
      <c r="D11" s="29" t="n">
        <f aca="false">IFERROR(B11/C11,"")</f>
        <v>4693054.87118644</v>
      </c>
      <c r="E11" s="29" t="n">
        <f aca="false">SUMIFS(Данные!$F$5:$F$508,Данные!$B$5:$B$508,A11,Данные!$H$5:$H$508,"&gt;=19",Данные!$H$5:$H$508,"&lt;=22")</f>
        <v>62032</v>
      </c>
      <c r="F11" s="29" t="n">
        <f aca="false">IFERROR(B11/E11,"")</f>
        <v>1594.16705087697</v>
      </c>
      <c r="G11" s="36" t="n">
        <f aca="false">B11/SUM($B$5:$B$17)</f>
        <v>0.0250368618718127</v>
      </c>
    </row>
    <row r="12" customFormat="false" ht="15" hidden="false" customHeight="false" outlineLevel="0" collapsed="false">
      <c r="A12" s="12" t="s">
        <v>32</v>
      </c>
      <c r="B12" s="29" t="n">
        <f aca="false">SUMIFS(Данные!$D$5:$D$508,Данные!$B$5:$B$508,A12,Данные!$H$5:$H$508,"&gt;=19",Данные!$H$5:$H$508,"&lt;=22")</f>
        <v>79432821</v>
      </c>
      <c r="C12" s="32" t="n">
        <f aca="false">AVERAGEIFS(Данные!$E$5:$E$508,Данные!$B$5:$B$508,A12,Данные!$H$5:$H$508,"&gt;=19",Данные!$H$5:$H$508,"&lt;=22")</f>
        <v>19.3571428571429</v>
      </c>
      <c r="D12" s="29" t="n">
        <f aca="false">IFERROR(B12/C12,"")</f>
        <v>4103540.56826568</v>
      </c>
      <c r="E12" s="29" t="n">
        <f aca="false">SUMIFS(Данные!$F$5:$F$508,Данные!$B$5:$B$508,A12,Данные!$H$5:$H$508,"&gt;=19",Данные!$H$5:$H$508,"&lt;=22")</f>
        <v>53875</v>
      </c>
      <c r="F12" s="29" t="n">
        <f aca="false">IFERROR(B12/E12,"")</f>
        <v>1474.39110904872</v>
      </c>
      <c r="G12" s="36" t="n">
        <f aca="false">B12/SUM($B$5:$B$17)</f>
        <v>0.0201108426255522</v>
      </c>
    </row>
    <row r="13" customFormat="false" ht="15" hidden="false" customHeight="false" outlineLevel="0" collapsed="false">
      <c r="A13" s="12" t="s">
        <v>28</v>
      </c>
      <c r="B13" s="29" t="n">
        <f aca="false">SUMIFS(Данные!$D$5:$D$508,Данные!$B$5:$B$508,A13,Данные!$H$5:$H$508,"&gt;=19",Данные!$H$5:$H$508,"&lt;=22")</f>
        <v>82698820.5</v>
      </c>
      <c r="C13" s="32" t="n">
        <f aca="false">AVERAGEIFS(Данные!$E$5:$E$508,Данные!$B$5:$B$508,A13,Данные!$H$5:$H$508,"&gt;=19",Данные!$H$5:$H$508,"&lt;=22")</f>
        <v>20.6428571428571</v>
      </c>
      <c r="D13" s="29" t="n">
        <f aca="false">IFERROR(B13/C13,"")</f>
        <v>4006171.23529412</v>
      </c>
      <c r="E13" s="29" t="n">
        <f aca="false">SUMIFS(Данные!$F$5:$F$508,Данные!$B$5:$B$508,A13,Данные!$H$5:$H$508,"&gt;=19",Данные!$H$5:$H$508,"&lt;=22")</f>
        <v>53479</v>
      </c>
      <c r="F13" s="29" t="n">
        <f aca="false">IFERROR(B13/E13,"")</f>
        <v>1546.37933581406</v>
      </c>
      <c r="G13" s="36" t="n">
        <f aca="false">B13/SUM($B$5:$B$17)</f>
        <v>0.0209377300649349</v>
      </c>
    </row>
    <row r="14" customFormat="false" ht="15" hidden="false" customHeight="false" outlineLevel="0" collapsed="false">
      <c r="A14" s="12" t="s">
        <v>29</v>
      </c>
      <c r="B14" s="29" t="n">
        <f aca="false">SUMIFS(Данные!$D$5:$D$508,Данные!$B$5:$B$508,A14,Данные!$H$5:$H$508,"&gt;=19",Данные!$H$5:$H$508,"&lt;=22")</f>
        <v>69367629</v>
      </c>
      <c r="C14" s="32" t="n">
        <f aca="false">AVERAGEIFS(Данные!$E$5:$E$508,Данные!$B$5:$B$508,A14,Данные!$H$5:$H$508,"&gt;=19",Данные!$H$5:$H$508,"&lt;=22")</f>
        <v>19.2857142857143</v>
      </c>
      <c r="D14" s="29" t="n">
        <f aca="false">IFERROR(B14/C14,"")</f>
        <v>3596840.02222222</v>
      </c>
      <c r="E14" s="29" t="n">
        <f aca="false">SUMIFS(Данные!$F$5:$F$508,Данные!$B$5:$B$508,A14,Данные!$H$5:$H$508,"&gt;=19",Данные!$H$5:$H$508,"&lt;=22")</f>
        <v>49784</v>
      </c>
      <c r="F14" s="29" t="n">
        <f aca="false">IFERROR(B14/E14,"")</f>
        <v>1393.37194681022</v>
      </c>
      <c r="G14" s="36" t="n">
        <f aca="false">B14/SUM($B$5:$B$17)</f>
        <v>0.0175625321191437</v>
      </c>
    </row>
    <row r="15" customFormat="false" ht="15" hidden="false" customHeight="false" outlineLevel="0" collapsed="false">
      <c r="A15" s="12" t="s">
        <v>37</v>
      </c>
      <c r="B15" s="29" t="n">
        <f aca="false">SUMIFS(Данные!$D$5:$D$508,Данные!$B$5:$B$508,A15,Данные!$H$5:$H$508,"&gt;=19",Данные!$H$5:$H$508,"&lt;=22")</f>
        <v>27668821.5</v>
      </c>
      <c r="C15" s="32" t="n">
        <f aca="false">AVERAGEIFS(Данные!$E$5:$E$508,Данные!$B$5:$B$508,A15,Данные!$H$5:$H$508,"&gt;=19",Данные!$H$5:$H$508,"&lt;=22")</f>
        <v>10</v>
      </c>
      <c r="D15" s="29" t="n">
        <f aca="false">IFERROR(B15/C15,"")</f>
        <v>2766882.15</v>
      </c>
      <c r="E15" s="29" t="n">
        <f aca="false">SUMIFS(Данные!$F$5:$F$508,Данные!$B$5:$B$508,A15,Данные!$H$5:$H$508,"&gt;=19",Данные!$H$5:$H$508,"&lt;=22")</f>
        <v>18892</v>
      </c>
      <c r="F15" s="29" t="n">
        <f aca="false">IFERROR(B15/E15,"")</f>
        <v>1464.57873703155</v>
      </c>
      <c r="G15" s="36" t="n">
        <f aca="false">B15/SUM($B$5:$B$17)</f>
        <v>0.00700520651055558</v>
      </c>
    </row>
    <row r="16" customFormat="false" ht="15" hidden="false" customHeight="false" outlineLevel="0" collapsed="false">
      <c r="A16" s="12" t="s">
        <v>34</v>
      </c>
      <c r="B16" s="29" t="n">
        <f aca="false">SUMIFS(Данные!$D$5:$D$508,Данные!$B$5:$B$508,A16,Данные!$H$5:$H$508,"&gt;=19",Данные!$H$5:$H$508,"&lt;=22")</f>
        <v>40315411.5</v>
      </c>
      <c r="C16" s="32" t="n">
        <f aca="false">AVERAGEIFS(Данные!$E$5:$E$508,Данные!$B$5:$B$508,A16,Данные!$H$5:$H$508,"&gt;=19",Данные!$H$5:$H$508,"&lt;=22")</f>
        <v>15.8928571428571</v>
      </c>
      <c r="D16" s="29" t="n">
        <f aca="false">IFERROR(B16/C16,"")</f>
        <v>2536700.0494382</v>
      </c>
      <c r="E16" s="29" t="n">
        <f aca="false">SUMIFS(Данные!$F$5:$F$508,Данные!$B$5:$B$508,A16,Данные!$H$5:$H$508,"&gt;=19",Данные!$H$5:$H$508,"&lt;=22")</f>
        <v>28984</v>
      </c>
      <c r="F16" s="29" t="n">
        <f aca="false">IFERROR(B16/E16,"")</f>
        <v>1390.95402635937</v>
      </c>
      <c r="G16" s="36" t="n">
        <f aca="false">B16/SUM($B$5:$B$17)</f>
        <v>0.0102070766951721</v>
      </c>
    </row>
    <row r="17" customFormat="false" ht="15" hidden="false" customHeight="false" outlineLevel="0" collapsed="false">
      <c r="A17" s="12" t="s">
        <v>33</v>
      </c>
      <c r="B17" s="29" t="n">
        <f aca="false">SUMIFS(Данные!$D$5:$D$508,Данные!$B$5:$B$508,A17,Данные!$H$5:$H$508,"&gt;=19",Данные!$H$5:$H$508,"&lt;=22")</f>
        <v>33995386.5</v>
      </c>
      <c r="C17" s="32" t="n">
        <f aca="false">AVERAGEIFS(Данные!$E$5:$E$508,Данные!$B$5:$B$508,A17,Данные!$H$5:$H$508,"&gt;=19",Данные!$H$5:$H$508,"&lt;=22")</f>
        <v>16.5</v>
      </c>
      <c r="D17" s="29" t="n">
        <f aca="false">IFERROR(B17/C17,"")</f>
        <v>2060326.45454545</v>
      </c>
      <c r="E17" s="29" t="n">
        <f aca="false">SUMIFS(Данные!$F$5:$F$508,Данные!$B$5:$B$508,A17,Данные!$H$5:$H$508,"&gt;=19",Данные!$H$5:$H$508,"&lt;=22")</f>
        <v>24251</v>
      </c>
      <c r="F17" s="29" t="n">
        <f aca="false">IFERROR(B17/E17,"")</f>
        <v>1401.81380149272</v>
      </c>
      <c r="G17" s="36" t="n">
        <f aca="false">B17/SUM($B$5:$B$17)</f>
        <v>0.00860696950315188</v>
      </c>
    </row>
  </sheetData>
  <conditionalFormatting sqref="D5:D17">
    <cfRule type="colorScale" priority="2">
      <colorScale>
        <cfvo type="min" val="0"/>
        <cfvo type="percentile" val="50"/>
        <cfvo type="max" val="0"/>
        <color rgb="FFF8CBAD"/>
        <color rgb="FFFFFFFF"/>
        <color rgb="FFA9D08E"/>
      </colorScale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2026-08-18T10:25:05Z</dcterms:created>
  <dc:creator>openpyxl</dc:creator>
  <dc:description/>
  <dc:language>en-US</dc:language>
  <cp:lastModifiedBy/>
  <dcterms:modified xsi:type="dcterms:W3CDTF">2026-08-18T10:25:18Z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